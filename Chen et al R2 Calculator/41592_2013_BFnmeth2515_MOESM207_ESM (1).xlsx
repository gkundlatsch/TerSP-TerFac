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Doutorado\Artigo\Chen et al R2 Calculator\"/>
    </mc:Choice>
  </mc:AlternateContent>
  <xr:revisionPtr revIDLastSave="0" documentId="13_ncr:1_{2B7A3FD1-C28B-4A28-AE79-4CC2BB4CA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<sst xmlns="http://schemas.openxmlformats.org/spreadsheetml/2006/main" count="273" uniqueCount="273">
  <si>
    <t>L3S2P21</t>
  </si>
  <si>
    <t>L3S2P56</t>
  </si>
  <si>
    <t>L3S2P51</t>
  </si>
  <si>
    <t>L3S1P56</t>
  </si>
  <si>
    <t>L3S3P41</t>
  </si>
  <si>
    <t>L3S3P51</t>
  </si>
  <si>
    <t>L3S1P52</t>
  </si>
  <si>
    <t>L3S2P41</t>
  </si>
  <si>
    <t>L3S2P22</t>
  </si>
  <si>
    <t>L3S2P11</t>
  </si>
  <si>
    <t>L3S2P55</t>
  </si>
  <si>
    <t>L3S3P21</t>
  </si>
  <si>
    <t>L3S3P56</t>
  </si>
  <si>
    <t>L3S2P52</t>
  </si>
  <si>
    <t>L3S1P51</t>
  </si>
  <si>
    <t>L3S2P13</t>
  </si>
  <si>
    <t>L3S3P22</t>
  </si>
  <si>
    <t>L3S1P53</t>
  </si>
  <si>
    <t>L3S3P00</t>
  </si>
  <si>
    <t>L3S2P53</t>
  </si>
  <si>
    <t>L3S2P15</t>
  </si>
  <si>
    <t>L3S2P31</t>
  </si>
  <si>
    <t>L3S1P13</t>
  </si>
  <si>
    <t>L3S3P11</t>
  </si>
  <si>
    <t>L3S3P23</t>
  </si>
  <si>
    <t>L3S1P12</t>
  </si>
  <si>
    <t>L3S3P52</t>
  </si>
  <si>
    <t>L3S3P12</t>
  </si>
  <si>
    <t>L3S1P41</t>
  </si>
  <si>
    <t>L3S2P24</t>
  </si>
  <si>
    <t>L3S2P14</t>
  </si>
  <si>
    <t>L3S1P54</t>
  </si>
  <si>
    <t>L3S1P22</t>
  </si>
  <si>
    <t>L3S2P00</t>
  </si>
  <si>
    <t>L3S1P47</t>
  </si>
  <si>
    <t>L3S3P45</t>
  </si>
  <si>
    <t>L3S2P44</t>
  </si>
  <si>
    <t>L3S3P54</t>
  </si>
  <si>
    <t>L3S3P31</t>
  </si>
  <si>
    <t>L3S1P11</t>
  </si>
  <si>
    <t>L3S3P43</t>
  </si>
  <si>
    <t>L3S3P42</t>
  </si>
  <si>
    <t>L3S2P42</t>
  </si>
  <si>
    <t>L3S3P14</t>
  </si>
  <si>
    <t>L3S2P43</t>
  </si>
  <si>
    <t>L3S3P35</t>
  </si>
  <si>
    <t>L3S1P00</t>
  </si>
  <si>
    <t>L3S3P47</t>
  </si>
  <si>
    <t>L3S1P42</t>
  </si>
  <si>
    <t>L3S3P15</t>
  </si>
  <si>
    <t>L3S2P47</t>
  </si>
  <si>
    <t>L3S1P34</t>
  </si>
  <si>
    <t>L3S2P34</t>
  </si>
  <si>
    <t>L3S3P33</t>
  </si>
  <si>
    <t>L3S3P25</t>
  </si>
  <si>
    <t>L3S2P33</t>
  </si>
  <si>
    <t>L3S3P55</t>
  </si>
  <si>
    <t>L3S3P32</t>
  </si>
  <si>
    <t>L3S1P44</t>
  </si>
  <si>
    <t>L3S1P43</t>
  </si>
  <si>
    <t>L3S3P37</t>
  </si>
  <si>
    <t>L3S2P37</t>
  </si>
  <si>
    <t>L3S1P32</t>
  </si>
  <si>
    <t>L3S2P46</t>
  </si>
  <si>
    <t>L3S1P31</t>
  </si>
  <si>
    <t>L3S1P33</t>
  </si>
  <si>
    <t>L3S1P45</t>
  </si>
  <si>
    <t>L3S2P36</t>
  </si>
  <si>
    <t>L2U1H10</t>
  </si>
  <si>
    <t>L2U1H09</t>
  </si>
  <si>
    <t>L3S1P15</t>
  </si>
  <si>
    <t>L3S1P35</t>
  </si>
  <si>
    <t>L1U1H11</t>
  </si>
  <si>
    <t>L1U1H03</t>
  </si>
  <si>
    <t>L3S1P23</t>
  </si>
  <si>
    <t>L3S1P25</t>
  </si>
  <si>
    <t>L3S2P32</t>
  </si>
  <si>
    <t>L3S3P46</t>
  </si>
  <si>
    <t>L2U1H07</t>
  </si>
  <si>
    <t>L1U4H02</t>
  </si>
  <si>
    <t>L1U4H07</t>
  </si>
  <si>
    <t>L1U4H11</t>
  </si>
  <si>
    <t>L1U4H08</t>
  </si>
  <si>
    <t>L1U4H01</t>
  </si>
  <si>
    <t>L1U4H06</t>
  </si>
  <si>
    <t>L2U1H08</t>
  </si>
  <si>
    <t>L2U1H12</t>
  </si>
  <si>
    <t>L1U4H03</t>
  </si>
  <si>
    <t>L1U4H04</t>
  </si>
  <si>
    <t>L1U4H09</t>
  </si>
  <si>
    <t>L3S1P24</t>
  </si>
  <si>
    <t>L1U4H05</t>
  </si>
  <si>
    <t>L2U6H06</t>
  </si>
  <si>
    <t>L2U1H06</t>
  </si>
  <si>
    <t>L2U2H09</t>
  </si>
  <si>
    <t>L2U6H09</t>
  </si>
  <si>
    <t>L2U2H06</t>
  </si>
  <si>
    <t>L1U1H07</t>
  </si>
  <si>
    <t>L2U6H07</t>
  </si>
  <si>
    <t>L1U4H12</t>
  </si>
  <si>
    <t>L1U1H08</t>
  </si>
  <si>
    <t>L2U7H07</t>
  </si>
  <si>
    <t>L1U4H10</t>
  </si>
  <si>
    <t>L2U1H11</t>
  </si>
  <si>
    <t>L1U2H03</t>
  </si>
  <si>
    <t>L1U5H03</t>
  </si>
  <si>
    <t>L2U4H09</t>
  </si>
  <si>
    <t>L2U1H04</t>
  </si>
  <si>
    <t>L1U3H07</t>
  </si>
  <si>
    <t>L2U6H12</t>
  </si>
  <si>
    <t>L2U7H06</t>
  </si>
  <si>
    <t>L1U5H02</t>
  </si>
  <si>
    <t>L1U2H01</t>
  </si>
  <si>
    <t>L1U5H07</t>
  </si>
  <si>
    <t>L1U2H04</t>
  </si>
  <si>
    <t>L2U7H09</t>
  </si>
  <si>
    <t>L1U5H09</t>
  </si>
  <si>
    <t>L2U2H12</t>
  </si>
  <si>
    <t>L1U1H09</t>
  </si>
  <si>
    <t>L1U5H01</t>
  </si>
  <si>
    <t>L2U2H11</t>
  </si>
  <si>
    <t>L2U4H12</t>
  </si>
  <si>
    <t>L1U2H07</t>
  </si>
  <si>
    <t>L2U4H10</t>
  </si>
  <si>
    <t>L2U3H09</t>
  </si>
  <si>
    <t>L1U5H08</t>
  </si>
  <si>
    <t>L1U2H11</t>
  </si>
  <si>
    <t>L1U5H04</t>
  </si>
  <si>
    <t>L1U2H02</t>
  </si>
  <si>
    <t>L1U5H06</t>
  </si>
  <si>
    <t>L1U1H06</t>
  </si>
  <si>
    <t>L1U5H05</t>
  </si>
  <si>
    <t>L1U8H12</t>
  </si>
  <si>
    <t>L2U6H04</t>
  </si>
  <si>
    <t>L2U6H11</t>
  </si>
  <si>
    <t>L2U2H10</t>
  </si>
  <si>
    <t>L2U6H10</t>
  </si>
  <si>
    <t>L2U2H07</t>
  </si>
  <si>
    <t>L2U4H06</t>
  </si>
  <si>
    <t>L2U1H05</t>
  </si>
  <si>
    <t>L1U1H01</t>
  </si>
  <si>
    <t>L1U5H10</t>
  </si>
  <si>
    <t>L1U2H08</t>
  </si>
  <si>
    <t>L1U2H05</t>
  </si>
  <si>
    <t>L2U2H08</t>
  </si>
  <si>
    <t>L2U3H07</t>
  </si>
  <si>
    <t>L2U6H08</t>
  </si>
  <si>
    <t>L2U6H05</t>
  </si>
  <si>
    <t>L1U3H03</t>
  </si>
  <si>
    <t>L2U1H03</t>
  </si>
  <si>
    <t>L1U2H09</t>
  </si>
  <si>
    <t>L1U5H12</t>
  </si>
  <si>
    <t>L1U1H04</t>
  </si>
  <si>
    <t>L1U3H02</t>
  </si>
  <si>
    <t>L1U2H06</t>
  </si>
  <si>
    <t>L2U7H05</t>
  </si>
  <si>
    <t>L1U1H02</t>
  </si>
  <si>
    <t>L1U2H10</t>
  </si>
  <si>
    <t>L2U7H12</t>
  </si>
  <si>
    <t>L1U1H05</t>
  </si>
  <si>
    <t>L1U3H04</t>
  </si>
  <si>
    <t>L1U3H05</t>
  </si>
  <si>
    <t>L2U3H12</t>
  </si>
  <si>
    <t>L2U2H04</t>
  </si>
  <si>
    <t>L1U3H06</t>
  </si>
  <si>
    <t>L1U3H11</t>
  </si>
  <si>
    <t>L1U3H08</t>
  </si>
  <si>
    <t>L1U1H10</t>
  </si>
  <si>
    <t>L2U4H07</t>
  </si>
  <si>
    <t>L2U7H08</t>
  </si>
  <si>
    <t>L2U4H11</t>
  </si>
  <si>
    <t>L2U3H06</t>
  </si>
  <si>
    <t>L2U7H10</t>
  </si>
  <si>
    <t>L2U8H07</t>
  </si>
  <si>
    <t>L1U2H12</t>
  </si>
  <si>
    <t>L2U2H02</t>
  </si>
  <si>
    <t>L1U8H03</t>
  </si>
  <si>
    <t>L2U4H04</t>
  </si>
  <si>
    <t>L2U3H11</t>
  </si>
  <si>
    <t>L2U7H02</t>
  </si>
  <si>
    <t>L1U7H08</t>
  </si>
  <si>
    <t>L1U3H09</t>
  </si>
  <si>
    <t>L2U2H05</t>
  </si>
  <si>
    <t>L2U4H08</t>
  </si>
  <si>
    <t>L2U5H06</t>
  </si>
  <si>
    <t>L2U6H03</t>
  </si>
  <si>
    <t>L1U3H12</t>
  </si>
  <si>
    <t>L2U8H10</t>
  </si>
  <si>
    <t>L1U3H10</t>
  </si>
  <si>
    <t>L2U2H01</t>
  </si>
  <si>
    <t>L2U8H12</t>
  </si>
  <si>
    <t>L2U1H02</t>
  </si>
  <si>
    <t>L2U2H03</t>
  </si>
  <si>
    <t>L2U3H04</t>
  </si>
  <si>
    <t>L2U3H08</t>
  </si>
  <si>
    <t>L2U8H08</t>
  </si>
  <si>
    <t>L2U4H01</t>
  </si>
  <si>
    <t>L2U3H03</t>
  </si>
  <si>
    <t>L2U7H11</t>
  </si>
  <si>
    <t>L2U4H03</t>
  </si>
  <si>
    <t>L2U7H04</t>
  </si>
  <si>
    <t>L1U8H09</t>
  </si>
  <si>
    <t>L2U5H05</t>
  </si>
  <si>
    <t>L2U5H10</t>
  </si>
  <si>
    <t>L2U5H12</t>
  </si>
  <si>
    <t>L1U8H04</t>
  </si>
  <si>
    <t>L1U6H08</t>
  </si>
  <si>
    <t>L1U7H01</t>
  </si>
  <si>
    <t>L2U4H02</t>
  </si>
  <si>
    <t>L2U3H10</t>
  </si>
  <si>
    <t>L2U6H01</t>
  </si>
  <si>
    <t>L1U7H04</t>
  </si>
  <si>
    <t>L2U3H01</t>
  </si>
  <si>
    <t>L2U8H02</t>
  </si>
  <si>
    <t>L1U7H12</t>
  </si>
  <si>
    <t>L1U8H11</t>
  </si>
  <si>
    <t>L2U7H03</t>
  </si>
  <si>
    <t>L1U8H05</t>
  </si>
  <si>
    <t>L2U5H02</t>
  </si>
  <si>
    <t>L1U6H02</t>
  </si>
  <si>
    <t>L2U1H01</t>
  </si>
  <si>
    <t>L2U5H04</t>
  </si>
  <si>
    <t>L2U3H05</t>
  </si>
  <si>
    <t>L1U7H03</t>
  </si>
  <si>
    <t>L1U6H04</t>
  </si>
  <si>
    <t>L2U5H08</t>
  </si>
  <si>
    <t>L2U4H05</t>
  </si>
  <si>
    <t>L1U6H01</t>
  </si>
  <si>
    <t>L1U7H07</t>
  </si>
  <si>
    <t>L1U8H07</t>
  </si>
  <si>
    <t>L1U6H07</t>
  </si>
  <si>
    <t>L1U7H06</t>
  </si>
  <si>
    <t>L1U1H12</t>
  </si>
  <si>
    <t>L2U3H02</t>
  </si>
  <si>
    <t>L2U5H09</t>
  </si>
  <si>
    <t>L1U8H08</t>
  </si>
  <si>
    <t>L1U8H10</t>
  </si>
  <si>
    <t>L1U7H09</t>
  </si>
  <si>
    <t>L1U6H12</t>
  </si>
  <si>
    <t>L2U5H07</t>
  </si>
  <si>
    <t>L1U7H05</t>
  </si>
  <si>
    <t>L1U8H02</t>
  </si>
  <si>
    <t>L2U6H02</t>
  </si>
  <si>
    <t>L1U8H06</t>
  </si>
  <si>
    <t>L2U8H05</t>
  </si>
  <si>
    <t>L1U7H02</t>
  </si>
  <si>
    <t>L1U8H01</t>
  </si>
  <si>
    <t>L1U7H11</t>
  </si>
  <si>
    <t>L1U6H11</t>
  </si>
  <si>
    <t>L1U6H06</t>
  </si>
  <si>
    <t>L1U7H10</t>
  </si>
  <si>
    <t>L2U8H09</t>
  </si>
  <si>
    <t>L2U7H01</t>
  </si>
  <si>
    <t>L2U8H01</t>
  </si>
  <si>
    <t>L1U6H09</t>
  </si>
  <si>
    <t>L1U6H05</t>
  </si>
  <si>
    <t>L1U6H03</t>
  </si>
  <si>
    <t>L2U5H03</t>
  </si>
  <si>
    <t>L2U8H04</t>
  </si>
  <si>
    <t>L2U5H01</t>
  </si>
  <si>
    <t>L2U8H03</t>
  </si>
  <si>
    <t>L1U6H10</t>
  </si>
  <si>
    <t>L2U8H11</t>
  </si>
  <si>
    <t>L2U8H06</t>
  </si>
  <si>
    <t>L2U5H11</t>
  </si>
  <si>
    <t>Name</t>
  </si>
  <si>
    <t>Average Strength</t>
  </si>
  <si>
    <t>Predicted TS</t>
  </si>
  <si>
    <t>∆GU</t>
  </si>
  <si>
    <t>∆GL</t>
  </si>
  <si>
    <t>∆GH</t>
  </si>
  <si>
    <t>∆GA</t>
  </si>
  <si>
    <t>∆GB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</si>
</sst>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"/>
  <sheetViews>
    <sheetView tabSelected="1" workbookViewId="0">
      <pane ySplit="1" topLeftCell="A256" activePane="bottomLeft" state="frozen"/>
      <selection pane="bottomLeft" sqref="A1:XFD266"/>
    </sheetView>
  </sheetViews>
  <sheetFormatPr defaultColWidth="8.88671875" defaultRowHeight="14.4" x14ac:dyDescent="0.3"/>
  <cols>
    <col min="1" max="1" width="8" bestFit="1" customWidth="1"/>
    <col min="2" max="2" width="14.44140625" style="4" bestFit="1" customWidth="1"/>
    <col min="3" max="3" width="9.88671875" bestFit="1" customWidth="1"/>
    <col min="4" max="4" width="5.109375" bestFit="1" customWidth="1"/>
    <col min="5" max="6" width="5.88671875" bestFit="1" customWidth="1"/>
    <col min="7" max="7" width="4.88671875" bestFit="1" customWidth="1"/>
    <col min="8" max="8" width="10.88671875" style="5" bestFit="1" customWidth="1"/>
  </cols>
  <sheetData>
    <row r="1" spans="1:14" s="3" customFormat="1" x14ac:dyDescent="0.3">
      <c r="A1" s="1" t="s">
        <v>265</v>
      </c>
      <c r="B1" s="2" t="s">
        <v>266</v>
      </c>
      <c r="C1" s="6" t="s">
        <v>268</v>
      </c>
      <c r="D1" s="6" t="s">
        <v>269</v>
      </c>
      <c r="E1" s="6" t="s">
        <v>270</v>
      </c>
      <c r="F1" s="6" t="s">
        <v>271</v>
      </c>
      <c r="G1" s="6" t="s">
        <v>272</v>
      </c>
      <c r="H1" s="2" t="s">
        <v>267</v>
      </c>
      <c r="J1" s="6"/>
      <c r="K1" s="6"/>
      <c r="L1" s="6"/>
      <c r="M1" s="6"/>
      <c r="N1" s="6"/>
    </row>
    <row r="2" spans="1:14" x14ac:dyDescent="0.3">
      <c r="A2" t="s">
        <v>0</v>
      </c>
      <c r="B2" s="4">
        <v>382.12987706028127</v>
      </c>
      <c r="C2" s="7">
        <v>-1.1326150000000053</v>
      </c>
      <c r="D2" s="7">
        <v>0.4</v>
      </c>
      <c r="E2" s="7">
        <v>-19.8</v>
      </c>
      <c r="F2" s="7">
        <v>-9.0999999999999979</v>
      </c>
      <c r="G2" s="7">
        <v>-10</v>
      </c>
      <c r="H2" s="5">
        <f>1+1/(0.005*EXP(0.6*D2)+6*EXP(0.45*(F2+G2-C2))*(1+0.005*EXP(0.6*D2)))</f>
        <v>122.7114349953651</v>
      </c>
      <c r="J2" s="7"/>
      <c r="K2" s="7"/>
      <c r="L2" s="7"/>
      <c r="M2" s="7"/>
      <c r="N2" s="7"/>
    </row>
    <row r="3" spans="1:14" x14ac:dyDescent="0.3">
      <c r="A3" t="s">
        <v>1</v>
      </c>
      <c r="B3" s="4">
        <v>353.53759950193444</v>
      </c>
      <c r="C3" s="7">
        <v>-1.1326150000000053</v>
      </c>
      <c r="D3" s="7">
        <v>2.7</v>
      </c>
      <c r="E3" s="7">
        <v>-9.8000000000000007</v>
      </c>
      <c r="F3" s="7">
        <v>-11.399999999999999</v>
      </c>
      <c r="G3" s="7">
        <v>-7</v>
      </c>
      <c r="H3" s="5">
        <f t="shared" ref="H3:H66" si="0">1+1/(0.005*EXP(0.6*D3)+6*EXP(0.45*(F3+G3-C3))*(1+0.005*EXP(0.6*D3)))</f>
        <v>36.891311661198337</v>
      </c>
      <c r="J3" s="7"/>
      <c r="K3" s="7"/>
      <c r="L3" s="7"/>
      <c r="M3" s="7"/>
      <c r="N3" s="7"/>
    </row>
    <row r="4" spans="1:14" x14ac:dyDescent="0.3">
      <c r="A4" t="s">
        <v>2</v>
      </c>
      <c r="B4" s="4">
        <v>309.51829597997005</v>
      </c>
      <c r="C4" s="7">
        <v>-1.1326150000000053</v>
      </c>
      <c r="D4" s="7">
        <v>2.7</v>
      </c>
      <c r="E4" s="7">
        <v>-9.8000000000000007</v>
      </c>
      <c r="F4" s="7">
        <v>-6.1</v>
      </c>
      <c r="G4" s="7">
        <v>-7</v>
      </c>
      <c r="H4" s="5">
        <f t="shared" si="0"/>
        <v>19.705432066617298</v>
      </c>
      <c r="J4" s="7"/>
      <c r="K4" s="7"/>
      <c r="L4" s="7"/>
      <c r="M4" s="7"/>
      <c r="N4" s="7"/>
    </row>
    <row r="5" spans="1:14" x14ac:dyDescent="0.3">
      <c r="A5" t="s">
        <v>3</v>
      </c>
      <c r="B5" s="4">
        <v>305.99734218727701</v>
      </c>
      <c r="C5" s="7">
        <v>0.56494999999999707</v>
      </c>
      <c r="D5" s="7">
        <v>4.0999999999999996</v>
      </c>
      <c r="E5" s="7">
        <v>-16.100000000000001</v>
      </c>
      <c r="F5" s="7">
        <v>-6.0999999999999979</v>
      </c>
      <c r="G5" s="7">
        <v>-10</v>
      </c>
      <c r="H5" s="5">
        <f t="shared" si="0"/>
        <v>17.118765386039435</v>
      </c>
      <c r="J5" s="7"/>
      <c r="K5" s="7"/>
      <c r="L5" s="7"/>
      <c r="M5" s="7"/>
      <c r="N5" s="7"/>
    </row>
    <row r="6" spans="1:14" x14ac:dyDescent="0.3">
      <c r="A6" t="s">
        <v>4</v>
      </c>
      <c r="B6" s="4">
        <v>281.90176353810142</v>
      </c>
      <c r="C6" s="7">
        <v>1.6358049999999931</v>
      </c>
      <c r="D6" s="7">
        <v>2.2000000000000002</v>
      </c>
      <c r="E6" s="7">
        <v>-8.6999999999999993</v>
      </c>
      <c r="F6" s="7">
        <v>-8</v>
      </c>
      <c r="G6" s="7">
        <v>-7.6000000000000005</v>
      </c>
      <c r="H6" s="5">
        <f t="shared" si="0"/>
        <v>47.873771992530017</v>
      </c>
      <c r="J6" s="7"/>
      <c r="K6" s="7"/>
      <c r="L6" s="7"/>
      <c r="M6" s="7"/>
      <c r="N6" s="7"/>
    </row>
    <row r="7" spans="1:14" x14ac:dyDescent="0.3">
      <c r="A7" t="s">
        <v>5</v>
      </c>
      <c r="B7" s="4">
        <v>281.4070351758794</v>
      </c>
      <c r="C7" s="7">
        <v>0.25460499999999592</v>
      </c>
      <c r="D7" s="7">
        <v>2.2000000000000002</v>
      </c>
      <c r="E7" s="7">
        <v>-8.6999999999999993</v>
      </c>
      <c r="F7" s="7">
        <v>-7.1000000000000014</v>
      </c>
      <c r="G7" s="7">
        <v>-7.6000000000000005</v>
      </c>
      <c r="H7" s="5">
        <f t="shared" si="0"/>
        <v>39.42964531354523</v>
      </c>
      <c r="J7" s="7"/>
      <c r="K7" s="7"/>
      <c r="L7" s="7"/>
      <c r="M7" s="7"/>
      <c r="N7" s="7"/>
    </row>
    <row r="8" spans="1:14" x14ac:dyDescent="0.3">
      <c r="A8" t="s">
        <v>6</v>
      </c>
      <c r="B8" s="4">
        <v>278.54088288679139</v>
      </c>
      <c r="C8" s="7">
        <v>0.56494999999999707</v>
      </c>
      <c r="D8" s="7">
        <v>4.0999999999999996</v>
      </c>
      <c r="E8" s="7">
        <v>-16.100000000000001</v>
      </c>
      <c r="F8" s="7">
        <v>-5.1999999999999993</v>
      </c>
      <c r="G8" s="7">
        <v>-10</v>
      </c>
      <c r="H8" s="5">
        <f t="shared" si="0"/>
        <v>16.675269701739225</v>
      </c>
      <c r="J8" s="7"/>
      <c r="K8" s="7"/>
      <c r="L8" s="7"/>
      <c r="M8" s="7"/>
      <c r="N8" s="7"/>
    </row>
    <row r="9" spans="1:14" x14ac:dyDescent="0.3">
      <c r="A9" t="s">
        <v>7</v>
      </c>
      <c r="B9" s="4">
        <v>275.93286083741634</v>
      </c>
      <c r="C9" s="7">
        <v>1.6358049999999931</v>
      </c>
      <c r="D9" s="7">
        <v>2.7</v>
      </c>
      <c r="E9" s="7">
        <v>-9.8000000000000007</v>
      </c>
      <c r="F9" s="7">
        <v>-7.8999999999999986</v>
      </c>
      <c r="G9" s="7">
        <v>-7</v>
      </c>
      <c r="H9" s="5">
        <f t="shared" si="0"/>
        <v>35.633024282619672</v>
      </c>
      <c r="J9" s="7"/>
      <c r="K9" s="7"/>
      <c r="L9" s="7"/>
      <c r="M9" s="7"/>
      <c r="N9" s="7"/>
    </row>
    <row r="10" spans="1:14" x14ac:dyDescent="0.3">
      <c r="A10" t="s">
        <v>8</v>
      </c>
      <c r="B10" s="4">
        <v>270.94721255178717</v>
      </c>
      <c r="C10" s="7">
        <v>-1.1326150000000053</v>
      </c>
      <c r="D10" s="7">
        <v>0.4</v>
      </c>
      <c r="E10" s="7">
        <v>-15.4</v>
      </c>
      <c r="F10" s="7">
        <v>-9.1</v>
      </c>
      <c r="G10" s="7">
        <v>-10</v>
      </c>
      <c r="H10" s="5">
        <f t="shared" si="0"/>
        <v>122.71143499536514</v>
      </c>
      <c r="J10" s="7"/>
      <c r="K10" s="7"/>
      <c r="L10" s="7"/>
      <c r="M10" s="7"/>
      <c r="N10" s="7"/>
    </row>
    <row r="11" spans="1:14" x14ac:dyDescent="0.3">
      <c r="A11" t="s">
        <v>9</v>
      </c>
      <c r="B11" s="4">
        <v>261.54840615016633</v>
      </c>
      <c r="C11" s="7">
        <v>-1.1326150000000053</v>
      </c>
      <c r="D11" s="7">
        <v>5.0999999999999996</v>
      </c>
      <c r="E11" s="7">
        <v>-7.4</v>
      </c>
      <c r="F11" s="7">
        <v>-9.1</v>
      </c>
      <c r="G11" s="7">
        <v>-7</v>
      </c>
      <c r="H11" s="5">
        <f t="shared" si="0"/>
        <v>9.731552634269871</v>
      </c>
      <c r="J11" s="7"/>
      <c r="K11" s="7"/>
      <c r="L11" s="7"/>
      <c r="M11" s="7"/>
      <c r="N11" s="7"/>
    </row>
    <row r="12" spans="1:14" x14ac:dyDescent="0.3">
      <c r="A12" t="s">
        <v>10</v>
      </c>
      <c r="B12" s="4">
        <v>255.66170135924986</v>
      </c>
      <c r="C12" s="7">
        <v>-1.1326150000000053</v>
      </c>
      <c r="D12" s="7">
        <v>2.7</v>
      </c>
      <c r="E12" s="7">
        <v>-9.8000000000000007</v>
      </c>
      <c r="F12" s="7">
        <v>-2.5</v>
      </c>
      <c r="G12" s="7">
        <v>-7</v>
      </c>
      <c r="H12" s="5">
        <f t="shared" si="0"/>
        <v>6.9617101522619462</v>
      </c>
      <c r="J12" s="7"/>
      <c r="K12" s="7"/>
      <c r="L12" s="7"/>
      <c r="M12" s="7"/>
      <c r="N12" s="7"/>
    </row>
    <row r="13" spans="1:14" x14ac:dyDescent="0.3">
      <c r="A13" t="s">
        <v>11</v>
      </c>
      <c r="B13" s="4">
        <v>246.59273130501884</v>
      </c>
      <c r="C13" s="7">
        <v>0.25460499999999592</v>
      </c>
      <c r="D13" s="7">
        <v>2.2000000000000002</v>
      </c>
      <c r="E13" s="7">
        <v>-18</v>
      </c>
      <c r="F13" s="7">
        <v>-3.8000000000000007</v>
      </c>
      <c r="G13" s="7">
        <v>-10</v>
      </c>
      <c r="H13" s="5">
        <f t="shared" si="0"/>
        <v>34.705534358923643</v>
      </c>
      <c r="J13" s="7"/>
      <c r="K13" s="7"/>
      <c r="L13" s="7"/>
      <c r="M13" s="7"/>
      <c r="N13" s="7"/>
    </row>
    <row r="14" spans="1:14" x14ac:dyDescent="0.3">
      <c r="A14" t="s">
        <v>12</v>
      </c>
      <c r="B14" s="4">
        <v>244.85484748583684</v>
      </c>
      <c r="C14" s="7">
        <v>0.25460499999999592</v>
      </c>
      <c r="D14" s="7">
        <v>2.2000000000000002</v>
      </c>
      <c r="E14" s="7">
        <v>-8.6999999999999993</v>
      </c>
      <c r="F14" s="7">
        <v>-9.4000000000000021</v>
      </c>
      <c r="G14" s="7">
        <v>-7.6000000000000005</v>
      </c>
      <c r="H14" s="5">
        <f t="shared" si="0"/>
        <v>47.922257449376524</v>
      </c>
      <c r="J14" s="7"/>
      <c r="K14" s="7"/>
      <c r="L14" s="7"/>
      <c r="M14" s="7"/>
      <c r="N14" s="7"/>
    </row>
    <row r="15" spans="1:14" x14ac:dyDescent="0.3">
      <c r="A15" t="s">
        <v>13</v>
      </c>
      <c r="B15" s="4">
        <v>244.78885142298881</v>
      </c>
      <c r="C15" s="7">
        <v>-1.1326150000000053</v>
      </c>
      <c r="D15" s="7">
        <v>2.7</v>
      </c>
      <c r="E15" s="7">
        <v>-9.8000000000000007</v>
      </c>
      <c r="F15" s="7">
        <v>-5.1999999999999993</v>
      </c>
      <c r="G15" s="7">
        <v>-7</v>
      </c>
      <c r="H15" s="5">
        <f t="shared" si="0"/>
        <v>15.806431563375892</v>
      </c>
      <c r="J15" s="7"/>
      <c r="K15" s="7"/>
      <c r="L15" s="7"/>
      <c r="M15" s="7"/>
      <c r="N15" s="7"/>
    </row>
    <row r="16" spans="1:14" x14ac:dyDescent="0.3">
      <c r="A16" t="s">
        <v>14</v>
      </c>
      <c r="B16" s="4">
        <v>236.72274366820236</v>
      </c>
      <c r="C16" s="7">
        <v>0.56494999999999707</v>
      </c>
      <c r="D16" s="7">
        <v>4.0999999999999996</v>
      </c>
      <c r="E16" s="7">
        <v>-16.100000000000001</v>
      </c>
      <c r="F16" s="7">
        <v>-6.0999999999999979</v>
      </c>
      <c r="G16" s="7">
        <v>-10</v>
      </c>
      <c r="H16" s="5">
        <f t="shared" si="0"/>
        <v>17.118765386039435</v>
      </c>
      <c r="J16" s="7"/>
      <c r="K16" s="7"/>
      <c r="L16" s="7"/>
      <c r="M16" s="7"/>
      <c r="N16" s="7"/>
    </row>
    <row r="17" spans="1:14" x14ac:dyDescent="0.3">
      <c r="A17" t="s">
        <v>15</v>
      </c>
      <c r="B17" s="4">
        <v>236.25590639765994</v>
      </c>
      <c r="C17" s="7">
        <v>-1.1326150000000053</v>
      </c>
      <c r="D17" s="7">
        <v>5.5</v>
      </c>
      <c r="E17" s="7">
        <v>-7</v>
      </c>
      <c r="F17" s="7">
        <v>-9.1000000000000014</v>
      </c>
      <c r="G17" s="7">
        <v>-7</v>
      </c>
      <c r="H17" s="5">
        <f t="shared" si="0"/>
        <v>7.9609384467436373</v>
      </c>
      <c r="J17" s="7"/>
      <c r="K17" s="7"/>
      <c r="L17" s="7"/>
      <c r="M17" s="7"/>
      <c r="N17" s="7"/>
    </row>
    <row r="18" spans="1:14" x14ac:dyDescent="0.3">
      <c r="A18" t="s">
        <v>16</v>
      </c>
      <c r="B18" s="4">
        <v>231.62723668309701</v>
      </c>
      <c r="C18" s="7">
        <v>0.25460499999999592</v>
      </c>
      <c r="D18" s="7">
        <v>2.2000000000000002</v>
      </c>
      <c r="E18" s="7">
        <v>-13.600000000000001</v>
      </c>
      <c r="F18" s="7">
        <v>-3.7999999999999972</v>
      </c>
      <c r="G18" s="7">
        <v>-10</v>
      </c>
      <c r="H18" s="5">
        <f t="shared" si="0"/>
        <v>34.705534358923636</v>
      </c>
      <c r="J18" s="7"/>
      <c r="K18" s="7"/>
      <c r="L18" s="7"/>
      <c r="M18" s="7"/>
      <c r="N18" s="7"/>
    </row>
    <row r="19" spans="1:14" x14ac:dyDescent="0.3">
      <c r="A19" t="s">
        <v>17</v>
      </c>
      <c r="B19" s="4">
        <v>226.49665950371752</v>
      </c>
      <c r="C19" s="7">
        <v>0.56494999999999707</v>
      </c>
      <c r="D19" s="7">
        <v>4.0999999999999996</v>
      </c>
      <c r="E19" s="7">
        <v>-16.100000000000001</v>
      </c>
      <c r="F19" s="7">
        <v>-4.2999999999999972</v>
      </c>
      <c r="G19" s="7">
        <v>-10</v>
      </c>
      <c r="H19" s="5">
        <f t="shared" si="0"/>
        <v>16.054249128272971</v>
      </c>
      <c r="J19" s="7"/>
      <c r="K19" s="7"/>
      <c r="L19" s="7"/>
      <c r="M19" s="7"/>
      <c r="N19" s="7"/>
    </row>
    <row r="20" spans="1:14" x14ac:dyDescent="0.3">
      <c r="A20" t="s">
        <v>18</v>
      </c>
      <c r="B20" s="4">
        <v>221.55373264097136</v>
      </c>
      <c r="C20" s="7">
        <v>0.25460499999999592</v>
      </c>
      <c r="D20" s="7">
        <v>0.2</v>
      </c>
      <c r="E20" s="7">
        <v>-23.299999999999997</v>
      </c>
      <c r="F20" s="7">
        <v>-3.8000000000000043</v>
      </c>
      <c r="G20" s="7">
        <v>-9.8999999999999986</v>
      </c>
      <c r="H20" s="5">
        <f t="shared" si="0"/>
        <v>60.010656912593966</v>
      </c>
      <c r="J20" s="7"/>
      <c r="K20" s="7"/>
      <c r="L20" s="7"/>
      <c r="M20" s="7"/>
      <c r="N20" s="7"/>
    </row>
    <row r="21" spans="1:14" x14ac:dyDescent="0.3">
      <c r="A21" t="s">
        <v>19</v>
      </c>
      <c r="B21" s="4">
        <v>217.85304385894736</v>
      </c>
      <c r="C21" s="7">
        <v>-1.1326150000000053</v>
      </c>
      <c r="D21" s="7">
        <v>2.7</v>
      </c>
      <c r="E21" s="7">
        <v>-9.8000000000000007</v>
      </c>
      <c r="F21" s="7">
        <v>-3.7999999999999989</v>
      </c>
      <c r="G21" s="7">
        <v>-7</v>
      </c>
      <c r="H21" s="5">
        <f t="shared" si="0"/>
        <v>10.556826568711864</v>
      </c>
      <c r="J21" s="7"/>
      <c r="K21" s="7"/>
      <c r="L21" s="7"/>
      <c r="M21" s="7"/>
      <c r="N21" s="7"/>
    </row>
    <row r="22" spans="1:14" x14ac:dyDescent="0.3">
      <c r="A22" t="s">
        <v>20</v>
      </c>
      <c r="B22" s="4">
        <v>216.60427070377443</v>
      </c>
      <c r="C22" s="7">
        <v>-0.33072499999999128</v>
      </c>
      <c r="D22" s="7">
        <v>6.2</v>
      </c>
      <c r="E22" s="7">
        <v>-3.0000000000000009</v>
      </c>
      <c r="F22" s="7">
        <v>-10.8</v>
      </c>
      <c r="G22" s="7">
        <v>-7.9</v>
      </c>
      <c r="H22" s="5">
        <f t="shared" si="0"/>
        <v>5.8034753166554536</v>
      </c>
      <c r="J22" s="7"/>
      <c r="K22" s="7"/>
      <c r="L22" s="7"/>
      <c r="M22" s="7"/>
      <c r="N22" s="7"/>
    </row>
    <row r="23" spans="1:14" x14ac:dyDescent="0.3">
      <c r="A23" t="s">
        <v>21</v>
      </c>
      <c r="B23" s="4">
        <v>187.39633799257768</v>
      </c>
      <c r="C23" s="7">
        <v>1.6358049999999931</v>
      </c>
      <c r="D23" s="7">
        <v>2.7</v>
      </c>
      <c r="E23" s="7">
        <v>-9.8000000000000007</v>
      </c>
      <c r="F23" s="7">
        <v>-8.0999999999999979</v>
      </c>
      <c r="G23" s="7">
        <v>-7</v>
      </c>
      <c r="H23" s="5">
        <f t="shared" si="0"/>
        <v>36.009621616186273</v>
      </c>
      <c r="J23" s="7"/>
      <c r="K23" s="7"/>
      <c r="L23" s="7"/>
      <c r="M23" s="7"/>
      <c r="N23" s="7"/>
    </row>
    <row r="24" spans="1:14" x14ac:dyDescent="0.3">
      <c r="A24" t="s">
        <v>22</v>
      </c>
      <c r="B24" s="4">
        <v>177.93866568945751</v>
      </c>
      <c r="C24" s="7">
        <v>0.56494999999999707</v>
      </c>
      <c r="D24" s="7">
        <v>2.2000000000000002</v>
      </c>
      <c r="E24" s="7">
        <v>-18</v>
      </c>
      <c r="F24" s="7">
        <v>-2.5</v>
      </c>
      <c r="G24" s="7">
        <v>-10</v>
      </c>
      <c r="H24" s="5">
        <f t="shared" si="0"/>
        <v>28.922913565664725</v>
      </c>
      <c r="J24" s="7"/>
      <c r="K24" s="7"/>
      <c r="L24" s="7"/>
      <c r="M24" s="7"/>
      <c r="N24" s="7"/>
    </row>
    <row r="25" spans="1:14" x14ac:dyDescent="0.3">
      <c r="A25" t="s">
        <v>23</v>
      </c>
      <c r="B25" s="4">
        <v>172.5986599171421</v>
      </c>
      <c r="C25" s="7">
        <v>0.25460499999999592</v>
      </c>
      <c r="D25" s="7">
        <v>0.8</v>
      </c>
      <c r="E25" s="7">
        <v>-10.1</v>
      </c>
      <c r="F25" s="7">
        <v>-3.9000000000000004</v>
      </c>
      <c r="G25" s="7">
        <v>-7.6000000000000005</v>
      </c>
      <c r="H25" s="5">
        <f t="shared" si="0"/>
        <v>26.914512531760664</v>
      </c>
      <c r="J25" s="7"/>
      <c r="K25" s="7"/>
      <c r="L25" s="7"/>
      <c r="M25" s="7"/>
      <c r="N25" s="7"/>
    </row>
    <row r="26" spans="1:14" x14ac:dyDescent="0.3">
      <c r="A26" t="s">
        <v>24</v>
      </c>
      <c r="B26" s="4">
        <v>168.18058198986523</v>
      </c>
      <c r="C26" s="7">
        <v>0.25460499999999592</v>
      </c>
      <c r="D26" s="7">
        <v>5.5</v>
      </c>
      <c r="E26" s="7">
        <v>-7</v>
      </c>
      <c r="F26" s="7">
        <v>-3.8000000000000007</v>
      </c>
      <c r="G26" s="7">
        <v>-7</v>
      </c>
      <c r="H26" s="5">
        <f t="shared" si="0"/>
        <v>6.4748414200207449</v>
      </c>
      <c r="J26" s="7"/>
      <c r="K26" s="7"/>
      <c r="L26" s="7"/>
      <c r="M26" s="7"/>
      <c r="N26" s="7"/>
    </row>
    <row r="27" spans="1:14" x14ac:dyDescent="0.3">
      <c r="A27" t="s">
        <v>25</v>
      </c>
      <c r="B27" s="4">
        <v>166.4979565787774</v>
      </c>
      <c r="C27" s="7">
        <v>0.56494999999999707</v>
      </c>
      <c r="D27" s="7">
        <v>0.4</v>
      </c>
      <c r="E27" s="7">
        <v>-19.8</v>
      </c>
      <c r="F27" s="7">
        <v>-2.5</v>
      </c>
      <c r="G27" s="7">
        <v>-10</v>
      </c>
      <c r="H27" s="5">
        <f t="shared" si="0"/>
        <v>44.020772997789841</v>
      </c>
      <c r="J27" s="7"/>
      <c r="K27" s="7"/>
      <c r="L27" s="7"/>
      <c r="M27" s="7"/>
      <c r="N27" s="7"/>
    </row>
    <row r="28" spans="1:14" x14ac:dyDescent="0.3">
      <c r="A28" t="s">
        <v>26</v>
      </c>
      <c r="B28" s="4">
        <v>163.6295355782471</v>
      </c>
      <c r="C28" s="7">
        <v>0.25460499999999592</v>
      </c>
      <c r="D28" s="7">
        <v>2.2000000000000002</v>
      </c>
      <c r="E28" s="7">
        <v>-8.6999999999999993</v>
      </c>
      <c r="F28" s="7">
        <v>-5.3000000000000007</v>
      </c>
      <c r="G28" s="7">
        <v>-7.6000000000000005</v>
      </c>
      <c r="H28" s="5">
        <f t="shared" si="0"/>
        <v>29.460120974434492</v>
      </c>
      <c r="J28" s="7"/>
      <c r="K28" s="7"/>
      <c r="L28" s="7"/>
      <c r="M28" s="7"/>
      <c r="N28" s="7"/>
    </row>
    <row r="29" spans="1:14" x14ac:dyDescent="0.3">
      <c r="A29" t="s">
        <v>27</v>
      </c>
      <c r="B29" s="4">
        <v>157.52846451164092</v>
      </c>
      <c r="C29" s="7">
        <v>0.25460499999999592</v>
      </c>
      <c r="D29" s="7">
        <v>0.4</v>
      </c>
      <c r="E29" s="7">
        <v>-10.5</v>
      </c>
      <c r="F29" s="7">
        <v>-3.9000000000000004</v>
      </c>
      <c r="G29" s="7">
        <v>-7.6000000000000005</v>
      </c>
      <c r="H29" s="5">
        <f t="shared" si="0"/>
        <v>28.16497220658967</v>
      </c>
      <c r="J29" s="7"/>
      <c r="K29" s="7"/>
      <c r="L29" s="7"/>
      <c r="M29" s="7"/>
      <c r="N29" s="7"/>
    </row>
    <row r="30" spans="1:14" x14ac:dyDescent="0.3">
      <c r="A30" t="s">
        <v>28</v>
      </c>
      <c r="B30" s="4">
        <v>157.51783853240042</v>
      </c>
      <c r="C30" s="7">
        <v>1.6358049999999931</v>
      </c>
      <c r="D30" s="7">
        <v>4.0999999999999996</v>
      </c>
      <c r="E30" s="7">
        <v>-16.100000000000001</v>
      </c>
      <c r="F30" s="7">
        <v>-7.8999999999999986</v>
      </c>
      <c r="G30" s="7">
        <v>-10</v>
      </c>
      <c r="H30" s="5">
        <f t="shared" si="0"/>
        <v>17.809567142397245</v>
      </c>
      <c r="J30" s="7"/>
      <c r="K30" s="7"/>
      <c r="L30" s="7"/>
      <c r="M30" s="7"/>
      <c r="N30" s="7"/>
    </row>
    <row r="31" spans="1:14" x14ac:dyDescent="0.3">
      <c r="A31" t="s">
        <v>29</v>
      </c>
      <c r="B31" s="4">
        <v>151.16412541753812</v>
      </c>
      <c r="C31" s="7">
        <v>-1.1326150000000053</v>
      </c>
      <c r="D31" s="7">
        <v>0.4</v>
      </c>
      <c r="E31" s="7">
        <v>-10.5</v>
      </c>
      <c r="F31" s="7">
        <v>-9.1999999999999993</v>
      </c>
      <c r="G31" s="7">
        <v>-7.6000000000000005</v>
      </c>
      <c r="H31" s="5">
        <f t="shared" si="0"/>
        <v>87.265739282451392</v>
      </c>
      <c r="J31" s="7"/>
      <c r="K31" s="7"/>
      <c r="L31" s="7"/>
      <c r="M31" s="7"/>
      <c r="N31" s="7"/>
    </row>
    <row r="32" spans="1:14" x14ac:dyDescent="0.3">
      <c r="A32" t="s">
        <v>30</v>
      </c>
      <c r="B32" s="4">
        <v>148.73652543283109</v>
      </c>
      <c r="C32" s="7">
        <v>-1.1326150000000053</v>
      </c>
      <c r="D32" s="7">
        <v>5.3</v>
      </c>
      <c r="E32" s="7">
        <v>-7.2</v>
      </c>
      <c r="F32" s="7">
        <v>-9.1000000000000014</v>
      </c>
      <c r="G32" s="7">
        <v>-7</v>
      </c>
      <c r="H32" s="5">
        <f t="shared" si="0"/>
        <v>8.7990905473528986</v>
      </c>
      <c r="J32" s="7"/>
      <c r="K32" s="7"/>
      <c r="L32" s="7"/>
      <c r="M32" s="7"/>
      <c r="N32" s="7"/>
    </row>
    <row r="33" spans="1:14" x14ac:dyDescent="0.3">
      <c r="A33" t="s">
        <v>31</v>
      </c>
      <c r="B33" s="4">
        <v>146.083323394084</v>
      </c>
      <c r="C33" s="7">
        <v>0.56494999999999707</v>
      </c>
      <c r="D33" s="7">
        <v>4.0999999999999996</v>
      </c>
      <c r="E33" s="7">
        <v>-16.100000000000001</v>
      </c>
      <c r="F33" s="7">
        <v>-6.1999999999999993</v>
      </c>
      <c r="G33" s="7">
        <v>-10</v>
      </c>
      <c r="H33" s="5">
        <f t="shared" si="0"/>
        <v>17.159056024845846</v>
      </c>
      <c r="J33" s="7"/>
      <c r="K33" s="7"/>
      <c r="L33" s="7"/>
      <c r="M33" s="7"/>
      <c r="N33" s="7"/>
    </row>
    <row r="34" spans="1:14" x14ac:dyDescent="0.3">
      <c r="A34" t="s">
        <v>32</v>
      </c>
      <c r="B34" s="4">
        <v>128.05773457894932</v>
      </c>
      <c r="C34" s="7">
        <v>0.56494999999999707</v>
      </c>
      <c r="D34" s="7">
        <v>4.0999999999999996</v>
      </c>
      <c r="E34" s="7">
        <v>-11.700000000000001</v>
      </c>
      <c r="F34" s="7">
        <v>-2.4999999999999982</v>
      </c>
      <c r="G34" s="7">
        <v>-10</v>
      </c>
      <c r="H34" s="5">
        <f t="shared" si="0"/>
        <v>14.108245594608656</v>
      </c>
      <c r="J34" s="7"/>
      <c r="K34" s="7"/>
      <c r="L34" s="7"/>
      <c r="M34" s="7"/>
      <c r="N34" s="7"/>
    </row>
    <row r="35" spans="1:14" x14ac:dyDescent="0.3">
      <c r="A35" t="s">
        <v>33</v>
      </c>
      <c r="B35" s="4">
        <v>127.47375181053154</v>
      </c>
      <c r="C35" s="7">
        <v>-1.1326150000000053</v>
      </c>
      <c r="D35" s="7">
        <v>0.2</v>
      </c>
      <c r="E35" s="7">
        <v>-23.299999999999997</v>
      </c>
      <c r="F35" s="7">
        <v>-9.1000000000000014</v>
      </c>
      <c r="G35" s="7">
        <v>-9.8999999999999986</v>
      </c>
      <c r="H35" s="5">
        <f t="shared" si="0"/>
        <v>132.89808019348155</v>
      </c>
      <c r="J35" s="7"/>
      <c r="K35" s="7"/>
      <c r="L35" s="7"/>
      <c r="M35" s="7"/>
      <c r="N35" s="7"/>
    </row>
    <row r="36" spans="1:14" x14ac:dyDescent="0.3">
      <c r="A36" t="s">
        <v>34</v>
      </c>
      <c r="B36" s="4">
        <v>123.42689674212882</v>
      </c>
      <c r="C36" s="7">
        <v>1.2418250000000117</v>
      </c>
      <c r="D36" s="7">
        <v>4.0999999999999996</v>
      </c>
      <c r="E36" s="7">
        <v>-16.100000000000001</v>
      </c>
      <c r="F36" s="7">
        <v>-7.3999999999999986</v>
      </c>
      <c r="G36" s="7">
        <v>-10</v>
      </c>
      <c r="H36" s="5">
        <f t="shared" si="0"/>
        <v>17.675483216840568</v>
      </c>
      <c r="J36" s="7"/>
      <c r="K36" s="7"/>
      <c r="L36" s="7"/>
      <c r="M36" s="7"/>
      <c r="N36" s="7"/>
    </row>
    <row r="37" spans="1:14" x14ac:dyDescent="0.3">
      <c r="A37" t="s">
        <v>35</v>
      </c>
      <c r="B37" s="4">
        <v>118.12370688258261</v>
      </c>
      <c r="C37" s="7">
        <v>-1.1326150000000053</v>
      </c>
      <c r="D37" s="7">
        <v>2.2000000000000002</v>
      </c>
      <c r="E37" s="7">
        <v>-8.6999999999999993</v>
      </c>
      <c r="F37" s="7">
        <v>-9.1999999999999993</v>
      </c>
      <c r="G37" s="7">
        <v>-7.6000000000000005</v>
      </c>
      <c r="H37" s="5">
        <f t="shared" si="0"/>
        <v>42.636723970677345</v>
      </c>
      <c r="J37" s="7"/>
      <c r="K37" s="7"/>
      <c r="L37" s="7"/>
      <c r="M37" s="7"/>
      <c r="N37" s="7"/>
    </row>
    <row r="38" spans="1:14" x14ac:dyDescent="0.3">
      <c r="A38" t="s">
        <v>36</v>
      </c>
      <c r="B38" s="4">
        <v>116.03121374668386</v>
      </c>
      <c r="C38" s="7">
        <v>0.25460499999999592</v>
      </c>
      <c r="D38" s="7">
        <v>2.7</v>
      </c>
      <c r="E38" s="7">
        <v>-9.8000000000000007</v>
      </c>
      <c r="F38" s="7">
        <v>-3.7999999999999989</v>
      </c>
      <c r="G38" s="7">
        <v>-7</v>
      </c>
      <c r="H38" s="5">
        <f t="shared" si="0"/>
        <v>15.753173019645958</v>
      </c>
      <c r="J38" s="7"/>
      <c r="K38" s="7"/>
      <c r="L38" s="7"/>
      <c r="M38" s="7"/>
      <c r="N38" s="7"/>
    </row>
    <row r="39" spans="1:14" x14ac:dyDescent="0.3">
      <c r="A39" t="s">
        <v>37</v>
      </c>
      <c r="B39" s="4">
        <v>114.07385909345544</v>
      </c>
      <c r="C39" s="7">
        <v>0.25460499999999592</v>
      </c>
      <c r="D39" s="7">
        <v>2.2000000000000002</v>
      </c>
      <c r="E39" s="7">
        <v>-8.6999999999999993</v>
      </c>
      <c r="F39" s="7">
        <v>-7.6000000000000014</v>
      </c>
      <c r="G39" s="7">
        <v>-7.6000000000000005</v>
      </c>
      <c r="H39" s="5">
        <f t="shared" si="0"/>
        <v>41.733454286075172</v>
      </c>
      <c r="J39" s="7"/>
      <c r="K39" s="7"/>
      <c r="L39" s="7"/>
      <c r="M39" s="7"/>
      <c r="N39" s="7"/>
    </row>
    <row r="40" spans="1:14" x14ac:dyDescent="0.3">
      <c r="A40" t="s">
        <v>38</v>
      </c>
      <c r="B40" s="4">
        <v>113.7647756748451</v>
      </c>
      <c r="C40" s="7">
        <v>1.6358049999999931</v>
      </c>
      <c r="D40" s="7">
        <v>2.2000000000000002</v>
      </c>
      <c r="E40" s="7">
        <v>-8.6999999999999993</v>
      </c>
      <c r="F40" s="7">
        <v>-3.9000000000000004</v>
      </c>
      <c r="G40" s="7">
        <v>-7.6000000000000005</v>
      </c>
      <c r="H40" s="5">
        <f t="shared" si="0"/>
        <v>29.347575335802897</v>
      </c>
      <c r="J40" s="7"/>
      <c r="K40" s="7"/>
      <c r="L40" s="7"/>
      <c r="M40" s="7"/>
      <c r="N40" s="7"/>
    </row>
    <row r="41" spans="1:14" x14ac:dyDescent="0.3">
      <c r="A41" t="s">
        <v>39</v>
      </c>
      <c r="B41" s="4">
        <v>107.66605984786608</v>
      </c>
      <c r="C41" s="7">
        <v>0.56494999999999707</v>
      </c>
      <c r="D41" s="7">
        <v>0.8</v>
      </c>
      <c r="E41" s="7">
        <v>-19.399999999999999</v>
      </c>
      <c r="F41" s="7">
        <v>-2.5</v>
      </c>
      <c r="G41" s="7">
        <v>-10</v>
      </c>
      <c r="H41" s="5">
        <f t="shared" si="0"/>
        <v>41.003768937293046</v>
      </c>
      <c r="J41" s="7"/>
      <c r="K41" s="7"/>
      <c r="L41" s="7"/>
      <c r="M41" s="7"/>
      <c r="N41" s="7"/>
    </row>
    <row r="42" spans="1:14" x14ac:dyDescent="0.3">
      <c r="A42" t="s">
        <v>40</v>
      </c>
      <c r="B42" s="4">
        <v>104.30865054717114</v>
      </c>
      <c r="C42" s="7">
        <v>-0.33072500000000582</v>
      </c>
      <c r="D42" s="7">
        <v>2.2000000000000002</v>
      </c>
      <c r="E42" s="7">
        <v>-8.6999999999999993</v>
      </c>
      <c r="F42" s="7">
        <v>-5.3000000000000007</v>
      </c>
      <c r="G42" s="7">
        <v>-7.6000000000000005</v>
      </c>
      <c r="H42" s="5">
        <f t="shared" si="0"/>
        <v>25.947045872582024</v>
      </c>
      <c r="J42" s="7"/>
      <c r="K42" s="7"/>
      <c r="L42" s="7"/>
      <c r="M42" s="7"/>
      <c r="N42" s="7"/>
    </row>
    <row r="43" spans="1:14" x14ac:dyDescent="0.3">
      <c r="A43" t="s">
        <v>41</v>
      </c>
      <c r="B43" s="4">
        <v>95.496677244186387</v>
      </c>
      <c r="C43" s="7">
        <v>0.56494999999999707</v>
      </c>
      <c r="D43" s="7">
        <v>2.2000000000000002</v>
      </c>
      <c r="E43" s="7">
        <v>-8.6999999999999993</v>
      </c>
      <c r="F43" s="7">
        <v>-8.6000000000000014</v>
      </c>
      <c r="G43" s="7">
        <v>-7.6000000000000005</v>
      </c>
      <c r="H43" s="5">
        <f t="shared" si="0"/>
        <v>46.555040349089687</v>
      </c>
      <c r="J43" s="7"/>
      <c r="K43" s="7"/>
      <c r="L43" s="7"/>
      <c r="M43" s="7"/>
      <c r="N43" s="7"/>
    </row>
    <row r="44" spans="1:14" x14ac:dyDescent="0.3">
      <c r="A44" t="s">
        <v>42</v>
      </c>
      <c r="B44" s="4">
        <v>95.199857944792626</v>
      </c>
      <c r="C44" s="7">
        <v>0.56494999999999707</v>
      </c>
      <c r="D44" s="7">
        <v>2.7</v>
      </c>
      <c r="E44" s="7">
        <v>-9.8000000000000007</v>
      </c>
      <c r="F44" s="7">
        <v>-8.5</v>
      </c>
      <c r="G44" s="7">
        <v>-7</v>
      </c>
      <c r="H44" s="5">
        <f t="shared" si="0"/>
        <v>34.640750164823402</v>
      </c>
      <c r="J44" s="7"/>
      <c r="K44" s="7"/>
      <c r="L44" s="7"/>
      <c r="M44" s="7"/>
      <c r="N44" s="7"/>
    </row>
    <row r="45" spans="1:14" x14ac:dyDescent="0.3">
      <c r="A45" t="s">
        <v>43</v>
      </c>
      <c r="B45" s="4">
        <v>93.177870802143673</v>
      </c>
      <c r="C45" s="7">
        <v>0.25460499999999592</v>
      </c>
      <c r="D45" s="7">
        <v>4.0999999999999996</v>
      </c>
      <c r="E45" s="7">
        <v>-6.8000000000000007</v>
      </c>
      <c r="F45" s="7">
        <v>-3.8999999999999986</v>
      </c>
      <c r="G45" s="7">
        <v>-7.6000000000000005</v>
      </c>
      <c r="H45" s="5">
        <f t="shared" si="0"/>
        <v>12.042560763990108</v>
      </c>
      <c r="J45" s="7"/>
      <c r="K45" s="7"/>
      <c r="L45" s="7"/>
      <c r="M45" s="7"/>
      <c r="N45" s="7"/>
    </row>
    <row r="46" spans="1:14" x14ac:dyDescent="0.3">
      <c r="A46" t="s">
        <v>44</v>
      </c>
      <c r="B46" s="4">
        <v>92.443348819569536</v>
      </c>
      <c r="C46" s="7">
        <v>-0.33072500000000582</v>
      </c>
      <c r="D46" s="7">
        <v>2.7</v>
      </c>
      <c r="E46" s="7">
        <v>-9.8000000000000007</v>
      </c>
      <c r="F46" s="7">
        <v>-5.1999999999999993</v>
      </c>
      <c r="G46" s="7">
        <v>-7</v>
      </c>
      <c r="H46" s="5">
        <f t="shared" si="0"/>
        <v>19.270484198376064</v>
      </c>
      <c r="J46" s="7"/>
      <c r="K46" s="7"/>
      <c r="L46" s="7"/>
      <c r="M46" s="7"/>
      <c r="N46" s="7"/>
    </row>
    <row r="47" spans="1:14" x14ac:dyDescent="0.3">
      <c r="A47" t="s">
        <v>45</v>
      </c>
      <c r="B47" s="4">
        <v>87.723098249870048</v>
      </c>
      <c r="C47" s="7">
        <v>-1.1326150000000053</v>
      </c>
      <c r="D47" s="7">
        <v>2.2000000000000002</v>
      </c>
      <c r="E47" s="7">
        <v>-8.6999999999999993</v>
      </c>
      <c r="F47" s="7">
        <v>-3.9000000000000004</v>
      </c>
      <c r="G47" s="7">
        <v>-7.6000000000000005</v>
      </c>
      <c r="H47" s="5">
        <f t="shared" si="0"/>
        <v>14.11100647890353</v>
      </c>
      <c r="J47" s="7"/>
      <c r="K47" s="7"/>
      <c r="L47" s="7"/>
      <c r="M47" s="7"/>
      <c r="N47" s="7"/>
    </row>
    <row r="48" spans="1:14" x14ac:dyDescent="0.3">
      <c r="A48" t="s">
        <v>46</v>
      </c>
      <c r="B48" s="4">
        <v>86.919409772147688</v>
      </c>
      <c r="C48" s="7">
        <v>0.56494999999999707</v>
      </c>
      <c r="D48" s="7">
        <v>0.2</v>
      </c>
      <c r="E48" s="7">
        <v>-23.299999999999997</v>
      </c>
      <c r="F48" s="7">
        <v>-2.5000000000000036</v>
      </c>
      <c r="G48" s="7">
        <v>-9.8999999999999986</v>
      </c>
      <c r="H48" s="5">
        <f t="shared" si="0"/>
        <v>43.93588717462228</v>
      </c>
      <c r="J48" s="7"/>
      <c r="K48" s="7"/>
      <c r="L48" s="7"/>
      <c r="M48" s="7"/>
      <c r="N48" s="7"/>
    </row>
    <row r="49" spans="1:14" x14ac:dyDescent="0.3">
      <c r="A49" t="s">
        <v>47</v>
      </c>
      <c r="B49" s="4">
        <v>85.357120509296493</v>
      </c>
      <c r="C49" s="7">
        <v>1.2418250000000117</v>
      </c>
      <c r="D49" s="7">
        <v>2.2000000000000002</v>
      </c>
      <c r="E49" s="7">
        <v>-8.6999999999999993</v>
      </c>
      <c r="F49" s="7">
        <v>-7.5</v>
      </c>
      <c r="G49" s="7">
        <v>-7.6000000000000005</v>
      </c>
      <c r="H49" s="5">
        <f t="shared" si="0"/>
        <v>45.189430752478572</v>
      </c>
      <c r="J49" s="7"/>
      <c r="K49" s="7"/>
      <c r="L49" s="7"/>
      <c r="M49" s="7"/>
      <c r="N49" s="7"/>
    </row>
    <row r="50" spans="1:14" x14ac:dyDescent="0.3">
      <c r="A50" t="s">
        <v>48</v>
      </c>
      <c r="B50" s="4">
        <v>81.526318227875066</v>
      </c>
      <c r="C50" s="7">
        <v>0.56494999999999707</v>
      </c>
      <c r="D50" s="7">
        <v>4.0999999999999996</v>
      </c>
      <c r="E50" s="7">
        <v>-16.100000000000001</v>
      </c>
      <c r="F50" s="7">
        <v>-8.5</v>
      </c>
      <c r="G50" s="7">
        <v>-10</v>
      </c>
      <c r="H50" s="5">
        <f t="shared" si="0"/>
        <v>17.745402680075259</v>
      </c>
      <c r="J50" s="7"/>
      <c r="K50" s="7"/>
      <c r="L50" s="7"/>
      <c r="M50" s="7"/>
      <c r="N50" s="7"/>
    </row>
    <row r="51" spans="1:14" x14ac:dyDescent="0.3">
      <c r="A51" t="s">
        <v>49</v>
      </c>
      <c r="B51" s="4">
        <v>80.642349282690617</v>
      </c>
      <c r="C51" s="7">
        <v>0.25460499999999592</v>
      </c>
      <c r="D51" s="7">
        <v>6.2</v>
      </c>
      <c r="E51" s="7">
        <v>-6.8</v>
      </c>
      <c r="F51" s="7">
        <v>-4.2</v>
      </c>
      <c r="G51" s="7">
        <v>-7.6000000000000005</v>
      </c>
      <c r="H51" s="5">
        <f t="shared" si="0"/>
        <v>5.1978147985661067</v>
      </c>
      <c r="J51" s="7"/>
      <c r="K51" s="7"/>
      <c r="L51" s="7"/>
      <c r="M51" s="7"/>
      <c r="N51" s="7"/>
    </row>
    <row r="52" spans="1:14" x14ac:dyDescent="0.3">
      <c r="A52" t="s">
        <v>50</v>
      </c>
      <c r="B52" s="4">
        <v>78.809737845944454</v>
      </c>
      <c r="C52" s="7">
        <v>1.2418250000000117</v>
      </c>
      <c r="D52" s="7">
        <v>2.7</v>
      </c>
      <c r="E52" s="7">
        <v>-9.8000000000000007</v>
      </c>
      <c r="F52" s="7">
        <v>-7.3999999999999986</v>
      </c>
      <c r="G52" s="7">
        <v>-7</v>
      </c>
      <c r="H52" s="5">
        <f t="shared" si="0"/>
        <v>33.614315884058364</v>
      </c>
      <c r="J52" s="7"/>
      <c r="K52" s="7"/>
      <c r="L52" s="7"/>
      <c r="M52" s="7"/>
      <c r="N52" s="7"/>
    </row>
    <row r="53" spans="1:14" x14ac:dyDescent="0.3">
      <c r="A53" t="s">
        <v>51</v>
      </c>
      <c r="B53" s="4">
        <v>77.603450451483297</v>
      </c>
      <c r="C53" s="7">
        <v>0.25460499999999592</v>
      </c>
      <c r="D53" s="7">
        <v>4.0999999999999996</v>
      </c>
      <c r="E53" s="7">
        <v>-16.100000000000001</v>
      </c>
      <c r="F53" s="7">
        <v>-3.2999999999999972</v>
      </c>
      <c r="G53" s="7">
        <v>-10</v>
      </c>
      <c r="H53" s="5">
        <f t="shared" si="0"/>
        <v>14.740995915860754</v>
      </c>
      <c r="J53" s="7"/>
      <c r="K53" s="7"/>
      <c r="L53" s="7"/>
      <c r="M53" s="7"/>
      <c r="N53" s="7"/>
    </row>
    <row r="54" spans="1:14" x14ac:dyDescent="0.3">
      <c r="A54" t="s">
        <v>52</v>
      </c>
      <c r="B54" s="4">
        <v>72.200118546805015</v>
      </c>
      <c r="C54" s="7">
        <v>0.25460499999999592</v>
      </c>
      <c r="D54" s="7">
        <v>2.7</v>
      </c>
      <c r="E54" s="7">
        <v>-9.8000000000000007</v>
      </c>
      <c r="F54" s="7">
        <v>-7.5</v>
      </c>
      <c r="G54" s="7">
        <v>-7</v>
      </c>
      <c r="H54" s="5">
        <f t="shared" si="0"/>
        <v>31.021744009931563</v>
      </c>
      <c r="J54" s="7"/>
      <c r="K54" s="7"/>
      <c r="L54" s="7"/>
      <c r="M54" s="7"/>
      <c r="N54" s="7"/>
    </row>
    <row r="55" spans="1:14" x14ac:dyDescent="0.3">
      <c r="A55" t="s">
        <v>53</v>
      </c>
      <c r="B55" s="4">
        <v>68.987384367991396</v>
      </c>
      <c r="C55" s="7">
        <v>-0.33072500000000582</v>
      </c>
      <c r="D55" s="7">
        <v>2.2000000000000002</v>
      </c>
      <c r="E55" s="7">
        <v>-8.6999999999999993</v>
      </c>
      <c r="F55" s="7">
        <v>-3.9000000000000004</v>
      </c>
      <c r="G55" s="7">
        <v>-7.6000000000000005</v>
      </c>
      <c r="H55" s="5">
        <f t="shared" si="0"/>
        <v>17.995959587275689</v>
      </c>
      <c r="J55" s="7"/>
      <c r="K55" s="7"/>
      <c r="L55" s="7"/>
      <c r="M55" s="7"/>
      <c r="N55" s="7"/>
    </row>
    <row r="56" spans="1:14" x14ac:dyDescent="0.3">
      <c r="A56" t="s">
        <v>54</v>
      </c>
      <c r="B56" s="4">
        <v>67.433193442487038</v>
      </c>
      <c r="C56" s="7">
        <v>0.25460499999999592</v>
      </c>
      <c r="D56" s="7">
        <v>2.2000000000000002</v>
      </c>
      <c r="E56" s="7">
        <v>-10.3</v>
      </c>
      <c r="F56" s="7">
        <v>-3.7999999999999989</v>
      </c>
      <c r="G56" s="7">
        <v>-9.1</v>
      </c>
      <c r="H56" s="5">
        <f t="shared" si="0"/>
        <v>29.460120974434474</v>
      </c>
      <c r="J56" s="7"/>
      <c r="K56" s="7"/>
      <c r="L56" s="7"/>
      <c r="M56" s="7"/>
      <c r="N56" s="7"/>
    </row>
    <row r="57" spans="1:14" x14ac:dyDescent="0.3">
      <c r="A57" t="s">
        <v>55</v>
      </c>
      <c r="B57" s="4">
        <v>65.954773869346738</v>
      </c>
      <c r="C57" s="7">
        <v>-0.33072500000000582</v>
      </c>
      <c r="D57" s="7">
        <v>2.7</v>
      </c>
      <c r="E57" s="7">
        <v>-9.8000000000000007</v>
      </c>
      <c r="F57" s="7">
        <v>-10.7</v>
      </c>
      <c r="G57" s="7">
        <v>-7</v>
      </c>
      <c r="H57" s="5">
        <f t="shared" si="0"/>
        <v>37.041834043681177</v>
      </c>
      <c r="J57" s="7"/>
      <c r="K57" s="7"/>
      <c r="L57" s="7"/>
      <c r="M57" s="7"/>
      <c r="N57" s="7"/>
    </row>
    <row r="58" spans="1:14" x14ac:dyDescent="0.3">
      <c r="A58" t="s">
        <v>56</v>
      </c>
      <c r="B58" s="4">
        <v>62.030032099889922</v>
      </c>
      <c r="C58" s="7">
        <v>0.25460499999999592</v>
      </c>
      <c r="D58" s="7">
        <v>2.2000000000000002</v>
      </c>
      <c r="E58" s="7">
        <v>-8.6999999999999993</v>
      </c>
      <c r="F58" s="7">
        <v>-3.4000000000000004</v>
      </c>
      <c r="G58" s="7">
        <v>-7.6000000000000005</v>
      </c>
      <c r="H58" s="5">
        <f t="shared" si="0"/>
        <v>18.444045231707811</v>
      </c>
      <c r="J58" s="7"/>
      <c r="K58" s="7"/>
      <c r="L58" s="7"/>
      <c r="M58" s="7"/>
      <c r="N58" s="7"/>
    </row>
    <row r="59" spans="1:14" x14ac:dyDescent="0.3">
      <c r="A59" t="s">
        <v>57</v>
      </c>
      <c r="B59" s="4">
        <v>61.330273414315677</v>
      </c>
      <c r="C59" s="7">
        <v>0.56494999999999707</v>
      </c>
      <c r="D59" s="7">
        <v>2.2000000000000002</v>
      </c>
      <c r="E59" s="7">
        <v>-8.6999999999999993</v>
      </c>
      <c r="F59" s="7">
        <v>-3.9000000000000004</v>
      </c>
      <c r="G59" s="7">
        <v>-7.6000000000000005</v>
      </c>
      <c r="H59" s="5">
        <f t="shared" si="0"/>
        <v>22.964206813832067</v>
      </c>
      <c r="J59" s="7"/>
      <c r="K59" s="7"/>
      <c r="L59" s="7"/>
      <c r="M59" s="7"/>
      <c r="N59" s="7"/>
    </row>
    <row r="60" spans="1:14" x14ac:dyDescent="0.3">
      <c r="A60" t="s">
        <v>58</v>
      </c>
      <c r="B60" s="4">
        <v>58.170578866504876</v>
      </c>
      <c r="C60" s="7">
        <v>0.25460499999999592</v>
      </c>
      <c r="D60" s="7">
        <v>4.0999999999999996</v>
      </c>
      <c r="E60" s="7">
        <v>-16.100000000000001</v>
      </c>
      <c r="F60" s="7">
        <v>-3.7999999999999972</v>
      </c>
      <c r="G60" s="7">
        <v>-10</v>
      </c>
      <c r="H60" s="5">
        <f t="shared" si="0"/>
        <v>15.305412954079534</v>
      </c>
      <c r="J60" s="7"/>
      <c r="K60" s="7"/>
      <c r="L60" s="7"/>
      <c r="M60" s="7"/>
      <c r="N60" s="7"/>
    </row>
    <row r="61" spans="1:14" x14ac:dyDescent="0.3">
      <c r="A61" t="s">
        <v>59</v>
      </c>
      <c r="B61" s="4">
        <v>53.889973344933146</v>
      </c>
      <c r="C61" s="7">
        <v>-0.33072500000000582</v>
      </c>
      <c r="D61" s="7">
        <v>4.0999999999999996</v>
      </c>
      <c r="E61" s="7">
        <v>-16.100000000000001</v>
      </c>
      <c r="F61" s="7">
        <v>-5.1999999999999993</v>
      </c>
      <c r="G61" s="7">
        <v>-10</v>
      </c>
      <c r="H61" s="5">
        <f t="shared" si="0"/>
        <v>16.057732117479006</v>
      </c>
      <c r="J61" s="7"/>
      <c r="K61" s="7"/>
      <c r="L61" s="7"/>
      <c r="M61" s="7"/>
      <c r="N61" s="7"/>
    </row>
    <row r="62" spans="1:14" x14ac:dyDescent="0.3">
      <c r="A62" t="s">
        <v>60</v>
      </c>
      <c r="B62" s="4">
        <v>48.699731708199657</v>
      </c>
      <c r="C62" s="7">
        <v>1.2418250000000117</v>
      </c>
      <c r="D62" s="7">
        <v>2.2000000000000002</v>
      </c>
      <c r="E62" s="7">
        <v>-8.6999999999999993</v>
      </c>
      <c r="F62" s="7">
        <v>-3.9000000000000004</v>
      </c>
      <c r="G62" s="7">
        <v>-7.6000000000000005</v>
      </c>
      <c r="H62" s="5">
        <f t="shared" si="0"/>
        <v>26.981766816782336</v>
      </c>
      <c r="J62" s="7"/>
      <c r="K62" s="7"/>
      <c r="L62" s="7"/>
      <c r="M62" s="7"/>
      <c r="N62" s="7"/>
    </row>
    <row r="63" spans="1:14" x14ac:dyDescent="0.3">
      <c r="A63" t="s">
        <v>61</v>
      </c>
      <c r="B63" s="4">
        <v>47.50807077718418</v>
      </c>
      <c r="C63" s="7">
        <v>1.2418250000000117</v>
      </c>
      <c r="D63" s="7">
        <v>2.7</v>
      </c>
      <c r="E63" s="7">
        <v>-9.8000000000000007</v>
      </c>
      <c r="F63" s="7">
        <v>-7.5</v>
      </c>
      <c r="G63" s="7">
        <v>-7</v>
      </c>
      <c r="H63" s="5">
        <f t="shared" si="0"/>
        <v>33.868844482613838</v>
      </c>
      <c r="J63" s="7"/>
      <c r="K63" s="7"/>
      <c r="L63" s="7"/>
      <c r="M63" s="7"/>
      <c r="N63" s="7"/>
    </row>
    <row r="64" spans="1:14" x14ac:dyDescent="0.3">
      <c r="A64" t="s">
        <v>62</v>
      </c>
      <c r="B64" s="4">
        <v>46.304860798381036</v>
      </c>
      <c r="C64" s="7">
        <v>0.56494999999999707</v>
      </c>
      <c r="D64" s="7">
        <v>4.0999999999999996</v>
      </c>
      <c r="E64" s="7">
        <v>-16.100000000000001</v>
      </c>
      <c r="F64" s="7">
        <v>-2.5</v>
      </c>
      <c r="G64" s="7">
        <v>-10</v>
      </c>
      <c r="H64" s="5">
        <f t="shared" si="0"/>
        <v>14.108245594608659</v>
      </c>
      <c r="J64" s="7"/>
      <c r="K64" s="7"/>
      <c r="L64" s="7"/>
      <c r="M64" s="7"/>
      <c r="N64" s="7"/>
    </row>
    <row r="65" spans="1:14" x14ac:dyDescent="0.3">
      <c r="A65" t="s">
        <v>63</v>
      </c>
      <c r="B65" s="4">
        <v>44.874183440637765</v>
      </c>
      <c r="C65" s="7">
        <v>0.56494999999999707</v>
      </c>
      <c r="D65" s="7">
        <v>2.7</v>
      </c>
      <c r="E65" s="7">
        <v>-9.8000000000000007</v>
      </c>
      <c r="F65" s="7">
        <v>-2.5</v>
      </c>
      <c r="G65" s="7">
        <v>-7</v>
      </c>
      <c r="H65" s="5">
        <f t="shared" si="0"/>
        <v>11.91285716026383</v>
      </c>
      <c r="J65" s="7"/>
      <c r="K65" s="7"/>
      <c r="L65" s="7"/>
      <c r="M65" s="7"/>
      <c r="N65" s="7"/>
    </row>
    <row r="66" spans="1:14" x14ac:dyDescent="0.3">
      <c r="A66" t="s">
        <v>64</v>
      </c>
      <c r="B66" s="4">
        <v>43.277874571283398</v>
      </c>
      <c r="C66" s="7">
        <v>1.6358049999999931</v>
      </c>
      <c r="D66" s="7">
        <v>4.0999999999999996</v>
      </c>
      <c r="E66" s="7">
        <v>-16.100000000000001</v>
      </c>
      <c r="F66" s="7">
        <v>-2.5</v>
      </c>
      <c r="G66" s="7">
        <v>-10</v>
      </c>
      <c r="H66" s="5">
        <f t="shared" si="0"/>
        <v>15.389461117353287</v>
      </c>
      <c r="J66" s="7"/>
      <c r="K66" s="7"/>
      <c r="L66" s="7"/>
      <c r="M66" s="7"/>
      <c r="N66" s="7"/>
    </row>
    <row r="67" spans="1:14" x14ac:dyDescent="0.3">
      <c r="A67" t="s">
        <v>65</v>
      </c>
      <c r="B67" s="4">
        <v>37.906465163851209</v>
      </c>
      <c r="C67" s="7">
        <v>-0.33072500000000582</v>
      </c>
      <c r="D67" s="7">
        <v>4.0999999999999996</v>
      </c>
      <c r="E67" s="7">
        <v>-16.100000000000001</v>
      </c>
      <c r="F67" s="7">
        <v>-2.5</v>
      </c>
      <c r="G67" s="7">
        <v>-10</v>
      </c>
      <c r="H67" s="5">
        <f t="shared" ref="H67:H130" si="1">1+1/(0.005*EXP(0.6*D67)+6*EXP(0.45*(F67+G67-C67))*(1+0.005*EXP(0.6*D67)))</f>
        <v>12.750110078327658</v>
      </c>
      <c r="J67" s="7"/>
      <c r="K67" s="7"/>
      <c r="L67" s="7"/>
      <c r="M67" s="7"/>
      <c r="N67" s="7"/>
    </row>
    <row r="68" spans="1:14" x14ac:dyDescent="0.3">
      <c r="A68" t="s">
        <v>66</v>
      </c>
      <c r="B68" s="4">
        <v>37.494567666647164</v>
      </c>
      <c r="C68" s="7">
        <v>-1.1326150000000053</v>
      </c>
      <c r="D68" s="7">
        <v>4.0999999999999996</v>
      </c>
      <c r="E68" s="7">
        <v>-16.100000000000001</v>
      </c>
      <c r="F68" s="7">
        <v>-9.0999999999999979</v>
      </c>
      <c r="G68" s="7">
        <v>-10</v>
      </c>
      <c r="H68" s="5">
        <f t="shared" si="1"/>
        <v>17.534287271534676</v>
      </c>
      <c r="J68" s="7"/>
      <c r="K68" s="7"/>
      <c r="L68" s="7"/>
      <c r="M68" s="7"/>
      <c r="N68" s="7"/>
    </row>
    <row r="69" spans="1:14" x14ac:dyDescent="0.3">
      <c r="A69" t="s">
        <v>67</v>
      </c>
      <c r="B69" s="4">
        <v>37.366487939031714</v>
      </c>
      <c r="C69" s="7">
        <v>0.56494999999999707</v>
      </c>
      <c r="D69" s="7">
        <v>2.7</v>
      </c>
      <c r="E69" s="7">
        <v>-9.8000000000000007</v>
      </c>
      <c r="F69" s="7">
        <v>-6.1999999999999993</v>
      </c>
      <c r="G69" s="7">
        <v>-7</v>
      </c>
      <c r="H69" s="5">
        <f t="shared" si="1"/>
        <v>27.439669126894373</v>
      </c>
      <c r="J69" s="7"/>
      <c r="K69" s="7"/>
      <c r="L69" s="7"/>
      <c r="M69" s="7"/>
      <c r="N69" s="7"/>
    </row>
    <row r="70" spans="1:14" x14ac:dyDescent="0.3">
      <c r="A70" t="s">
        <v>68</v>
      </c>
      <c r="B70" s="4">
        <v>29.968838881382688</v>
      </c>
      <c r="C70" s="7">
        <v>1.6358049999999931</v>
      </c>
      <c r="D70" s="7">
        <v>3.8</v>
      </c>
      <c r="E70" s="7">
        <v>-13.899999999999999</v>
      </c>
      <c r="F70" s="7">
        <v>-1.2000000000000011</v>
      </c>
      <c r="G70" s="7">
        <v>-10</v>
      </c>
      <c r="H70" s="5">
        <f t="shared" si="1"/>
        <v>15.620452895103915</v>
      </c>
      <c r="J70" s="7"/>
      <c r="K70" s="7"/>
      <c r="L70" s="7"/>
      <c r="M70" s="7"/>
      <c r="N70" s="7"/>
    </row>
    <row r="71" spans="1:14" x14ac:dyDescent="0.3">
      <c r="A71" t="s">
        <v>69</v>
      </c>
      <c r="B71" s="4">
        <v>28.701100817034714</v>
      </c>
      <c r="C71" s="7">
        <v>1.6358049999999931</v>
      </c>
      <c r="D71" s="7">
        <v>5.0999999999999996</v>
      </c>
      <c r="E71" s="7">
        <v>-12.700000000000001</v>
      </c>
      <c r="F71" s="7">
        <v>-1.7999999999999989</v>
      </c>
      <c r="G71" s="7">
        <v>-9.1</v>
      </c>
      <c r="H71" s="5">
        <f t="shared" si="1"/>
        <v>8.6803740158870806</v>
      </c>
      <c r="J71" s="7"/>
      <c r="K71" s="7"/>
      <c r="L71" s="7"/>
      <c r="M71" s="7"/>
      <c r="N71" s="7"/>
    </row>
    <row r="72" spans="1:14" x14ac:dyDescent="0.3">
      <c r="A72" t="s">
        <v>70</v>
      </c>
      <c r="B72" s="4">
        <v>27.415156766808874</v>
      </c>
      <c r="C72" s="7">
        <v>0.56494999999999707</v>
      </c>
      <c r="D72" s="7">
        <v>6.2</v>
      </c>
      <c r="E72" s="7">
        <v>-16.100000000000001</v>
      </c>
      <c r="F72" s="7">
        <v>-2.7999999999999972</v>
      </c>
      <c r="G72" s="7">
        <v>-10</v>
      </c>
      <c r="H72" s="5">
        <f t="shared" si="1"/>
        <v>5.4640951748311259</v>
      </c>
      <c r="J72" s="7"/>
      <c r="K72" s="7"/>
      <c r="L72" s="7"/>
      <c r="M72" s="7"/>
      <c r="N72" s="7"/>
    </row>
    <row r="73" spans="1:14" x14ac:dyDescent="0.3">
      <c r="A73" t="s">
        <v>71</v>
      </c>
      <c r="B73" s="4">
        <v>25.167620794853914</v>
      </c>
      <c r="C73" s="7">
        <v>-1.1326150000000053</v>
      </c>
      <c r="D73" s="7">
        <v>4.0999999999999996</v>
      </c>
      <c r="E73" s="7">
        <v>-16.100000000000001</v>
      </c>
      <c r="F73" s="7">
        <v>-2.5</v>
      </c>
      <c r="G73" s="7">
        <v>-10</v>
      </c>
      <c r="H73" s="5">
        <f t="shared" si="1"/>
        <v>11.345909103798181</v>
      </c>
      <c r="J73" s="7"/>
      <c r="K73" s="7"/>
      <c r="L73" s="7"/>
      <c r="M73" s="7"/>
      <c r="N73" s="7"/>
    </row>
    <row r="74" spans="1:14" x14ac:dyDescent="0.3">
      <c r="A74" t="s">
        <v>72</v>
      </c>
      <c r="B74" s="4">
        <v>23.976723092655075</v>
      </c>
      <c r="C74" s="7">
        <v>1.6358049999999931</v>
      </c>
      <c r="D74" s="7">
        <v>0.8</v>
      </c>
      <c r="E74" s="7">
        <v>-11.6</v>
      </c>
      <c r="F74" s="7">
        <v>-1.2000000000000011</v>
      </c>
      <c r="G74" s="7">
        <v>-9</v>
      </c>
      <c r="H74" s="5">
        <f t="shared" si="1"/>
        <v>27.671095232095674</v>
      </c>
      <c r="J74" s="7"/>
      <c r="K74" s="7"/>
      <c r="L74" s="7"/>
      <c r="M74" s="7"/>
      <c r="N74" s="7"/>
    </row>
    <row r="75" spans="1:14" x14ac:dyDescent="0.3">
      <c r="A75" t="s">
        <v>73</v>
      </c>
      <c r="B75" s="4">
        <v>20.76498193446572</v>
      </c>
      <c r="C75" s="7">
        <v>1.6358049999999931</v>
      </c>
      <c r="D75" s="7">
        <v>5</v>
      </c>
      <c r="E75" s="7">
        <v>-20.5</v>
      </c>
      <c r="F75" s="7">
        <v>-1.1999999999999993</v>
      </c>
      <c r="G75" s="7">
        <v>-5.9</v>
      </c>
      <c r="H75" s="5">
        <f t="shared" si="1"/>
        <v>5.3481634643412361</v>
      </c>
      <c r="J75" s="7"/>
      <c r="K75" s="7"/>
      <c r="L75" s="7"/>
      <c r="M75" s="7"/>
      <c r="N75" s="7"/>
    </row>
    <row r="76" spans="1:14" x14ac:dyDescent="0.3">
      <c r="A76" t="s">
        <v>74</v>
      </c>
      <c r="B76" s="4">
        <v>19.778328134996304</v>
      </c>
      <c r="C76" s="7">
        <v>0.56494999999999707</v>
      </c>
      <c r="D76" s="7">
        <v>5.3</v>
      </c>
      <c r="E76" s="7">
        <v>-7.2</v>
      </c>
      <c r="F76" s="7">
        <v>-2.4999999999999991</v>
      </c>
      <c r="G76" s="7">
        <v>-7</v>
      </c>
      <c r="H76" s="5">
        <f t="shared" si="1"/>
        <v>6.188039722328269</v>
      </c>
      <c r="J76" s="7"/>
      <c r="K76" s="7"/>
      <c r="L76" s="7"/>
      <c r="M76" s="7"/>
      <c r="N76" s="7"/>
    </row>
    <row r="77" spans="1:14" x14ac:dyDescent="0.3">
      <c r="A77" t="s">
        <v>75</v>
      </c>
      <c r="B77" s="4">
        <v>19.405504289851635</v>
      </c>
      <c r="C77" s="7">
        <v>0.56494999999999707</v>
      </c>
      <c r="D77" s="7">
        <v>4.0999999999999996</v>
      </c>
      <c r="E77" s="7">
        <v>-8.4</v>
      </c>
      <c r="F77" s="7">
        <v>-2.5</v>
      </c>
      <c r="G77" s="7">
        <v>-9.1</v>
      </c>
      <c r="H77" s="5">
        <f t="shared" si="1"/>
        <v>12.742964770360668</v>
      </c>
      <c r="J77" s="7"/>
      <c r="K77" s="7"/>
      <c r="L77" s="7"/>
      <c r="M77" s="7"/>
      <c r="N77" s="7"/>
    </row>
    <row r="78" spans="1:14" x14ac:dyDescent="0.3">
      <c r="A78" t="s">
        <v>76</v>
      </c>
      <c r="B78" s="4">
        <v>17.254737925349843</v>
      </c>
      <c r="C78" s="7">
        <v>0.56494999999999707</v>
      </c>
      <c r="D78" s="7">
        <v>2.7</v>
      </c>
      <c r="E78" s="7">
        <v>-9.8000000000000007</v>
      </c>
      <c r="F78" s="7">
        <v>-5.2999999999999989</v>
      </c>
      <c r="G78" s="7">
        <v>-7</v>
      </c>
      <c r="H78" s="5">
        <f t="shared" si="1"/>
        <v>23.68013417508222</v>
      </c>
      <c r="J78" s="7"/>
      <c r="K78" s="7"/>
      <c r="L78" s="7"/>
      <c r="M78" s="7"/>
      <c r="N78" s="7"/>
    </row>
    <row r="79" spans="1:14" x14ac:dyDescent="0.3">
      <c r="A79" t="s">
        <v>77</v>
      </c>
      <c r="B79" s="4">
        <v>14.065605354171787</v>
      </c>
      <c r="C79" s="7">
        <v>0.56494999999999707</v>
      </c>
      <c r="D79" s="7">
        <v>2.2000000000000002</v>
      </c>
      <c r="E79" s="7">
        <v>-8.6999999999999993</v>
      </c>
      <c r="F79" s="7">
        <v>-2.6000000000000014</v>
      </c>
      <c r="G79" s="7">
        <v>-7.6000000000000005</v>
      </c>
      <c r="H79" s="5">
        <f t="shared" si="1"/>
        <v>15.960311234778262</v>
      </c>
      <c r="J79" s="7"/>
      <c r="K79" s="7"/>
      <c r="L79" s="7"/>
      <c r="M79" s="7"/>
      <c r="N79" s="7"/>
    </row>
    <row r="80" spans="1:14" x14ac:dyDescent="0.3">
      <c r="A80" t="s">
        <v>78</v>
      </c>
      <c r="B80" s="4">
        <v>13.201303050911253</v>
      </c>
      <c r="C80" s="7">
        <v>1.6358049999999931</v>
      </c>
      <c r="D80" s="7">
        <v>3.8</v>
      </c>
      <c r="E80" s="7">
        <v>-16.399999999999999</v>
      </c>
      <c r="F80" s="7">
        <v>-1.7000000000000028</v>
      </c>
      <c r="G80" s="7">
        <v>-10</v>
      </c>
      <c r="H80" s="5">
        <f t="shared" si="1"/>
        <v>16.512150749294406</v>
      </c>
      <c r="J80" s="7"/>
      <c r="K80" s="7"/>
      <c r="L80" s="7"/>
      <c r="M80" s="7"/>
      <c r="N80" s="7"/>
    </row>
    <row r="81" spans="1:14" x14ac:dyDescent="0.3">
      <c r="A81" t="s">
        <v>79</v>
      </c>
      <c r="B81" s="4">
        <v>10.552919203314035</v>
      </c>
      <c r="C81" s="7">
        <v>-2.2972550000000194</v>
      </c>
      <c r="D81" s="7">
        <v>5</v>
      </c>
      <c r="E81" s="7">
        <v>-21.5</v>
      </c>
      <c r="F81" s="7">
        <v>-2.6000000000000014</v>
      </c>
      <c r="G81" s="7">
        <v>-9</v>
      </c>
      <c r="H81" s="5">
        <f t="shared" si="1"/>
        <v>5.9798507090704796</v>
      </c>
      <c r="J81" s="7"/>
      <c r="K81" s="7"/>
      <c r="L81" s="7"/>
      <c r="M81" s="7"/>
      <c r="N81" s="7"/>
    </row>
    <row r="82" spans="1:14" x14ac:dyDescent="0.3">
      <c r="A82" t="s">
        <v>80</v>
      </c>
      <c r="B82" s="4">
        <v>9.91156624902335</v>
      </c>
      <c r="C82" s="7">
        <v>-2.2972550000000047</v>
      </c>
      <c r="D82" s="7">
        <v>0.8</v>
      </c>
      <c r="E82" s="7">
        <v>-11.999999999999998</v>
      </c>
      <c r="F82" s="7">
        <v>-5.0000000000000018</v>
      </c>
      <c r="G82" s="7">
        <v>-7.7999999999999989</v>
      </c>
      <c r="H82" s="5">
        <f t="shared" si="1"/>
        <v>17.215736268417345</v>
      </c>
      <c r="J82" s="7"/>
      <c r="K82" s="7"/>
      <c r="L82" s="7"/>
      <c r="M82" s="7"/>
      <c r="N82" s="7"/>
    </row>
    <row r="83" spans="1:14" x14ac:dyDescent="0.3">
      <c r="A83" t="s">
        <v>81</v>
      </c>
      <c r="B83" s="4">
        <v>9.8690851219219748</v>
      </c>
      <c r="C83" s="7">
        <v>-2.2972550000000194</v>
      </c>
      <c r="D83" s="7">
        <v>0.8</v>
      </c>
      <c r="E83" s="7">
        <v>-11.6</v>
      </c>
      <c r="F83" s="7">
        <v>-2.5999999999999996</v>
      </c>
      <c r="G83" s="7">
        <v>-9</v>
      </c>
      <c r="H83" s="5">
        <f t="shared" si="1"/>
        <v>10.996206100334698</v>
      </c>
      <c r="J83" s="7"/>
      <c r="K83" s="7"/>
      <c r="L83" s="7"/>
      <c r="M83" s="7"/>
      <c r="N83" s="7"/>
    </row>
    <row r="84" spans="1:14" x14ac:dyDescent="0.3">
      <c r="A84" t="s">
        <v>82</v>
      </c>
      <c r="B84" s="4">
        <v>9.4483674874409047</v>
      </c>
      <c r="C84" s="7">
        <v>-2.2972550000000194</v>
      </c>
      <c r="D84" s="7">
        <v>3.4</v>
      </c>
      <c r="E84" s="7">
        <v>-14.299999999999999</v>
      </c>
      <c r="F84" s="7">
        <v>-2.5999999999999996</v>
      </c>
      <c r="G84" s="7">
        <v>-9</v>
      </c>
      <c r="H84" s="5">
        <f t="shared" si="1"/>
        <v>8.5085651633883543</v>
      </c>
      <c r="J84" s="7"/>
      <c r="K84" s="7"/>
      <c r="L84" s="7"/>
      <c r="M84" s="7"/>
      <c r="N84" s="7"/>
    </row>
    <row r="85" spans="1:14" x14ac:dyDescent="0.3">
      <c r="A85" t="s">
        <v>83</v>
      </c>
      <c r="B85" s="4">
        <v>9.4254971318862193</v>
      </c>
      <c r="C85" s="7">
        <v>-2.2972550000000194</v>
      </c>
      <c r="D85" s="7">
        <v>0.8</v>
      </c>
      <c r="E85" s="7">
        <v>-22.5</v>
      </c>
      <c r="F85" s="7">
        <v>-2.3999999999999986</v>
      </c>
      <c r="G85" s="7">
        <v>-8.1</v>
      </c>
      <c r="H85" s="5">
        <f t="shared" si="1"/>
        <v>7.2918161042599348</v>
      </c>
      <c r="J85" s="7"/>
      <c r="K85" s="7"/>
      <c r="L85" s="7"/>
      <c r="M85" s="7"/>
      <c r="N85" s="7"/>
    </row>
    <row r="86" spans="1:14" x14ac:dyDescent="0.3">
      <c r="A86" t="s">
        <v>84</v>
      </c>
      <c r="B86" s="4">
        <v>9.4176916011078777</v>
      </c>
      <c r="C86" s="7">
        <v>-2.2972550000000194</v>
      </c>
      <c r="D86" s="7">
        <v>3.4</v>
      </c>
      <c r="E86" s="7">
        <v>-16.100000000000009</v>
      </c>
      <c r="F86" s="7">
        <v>-2.3999999999999915</v>
      </c>
      <c r="G86" s="7">
        <v>-8.1</v>
      </c>
      <c r="H86" s="5">
        <f t="shared" si="1"/>
        <v>6.1585086608628927</v>
      </c>
      <c r="J86" s="7"/>
      <c r="K86" s="7"/>
      <c r="L86" s="7"/>
      <c r="M86" s="7"/>
      <c r="N86" s="7"/>
    </row>
    <row r="87" spans="1:14" x14ac:dyDescent="0.3">
      <c r="A87" t="s">
        <v>85</v>
      </c>
      <c r="B87" s="4">
        <v>8.4291414771903028</v>
      </c>
      <c r="C87" s="7">
        <v>1.6358049999999931</v>
      </c>
      <c r="D87" s="7">
        <v>5.3</v>
      </c>
      <c r="E87" s="7">
        <v>-14.399999999999999</v>
      </c>
      <c r="F87" s="7">
        <v>-1.0000000000000018</v>
      </c>
      <c r="G87" s="7">
        <v>-8.8000000000000007</v>
      </c>
      <c r="H87" s="5">
        <f t="shared" si="1"/>
        <v>7.2748743159212985</v>
      </c>
      <c r="J87" s="7"/>
      <c r="K87" s="7"/>
      <c r="L87" s="7"/>
      <c r="M87" s="7"/>
      <c r="N87" s="7"/>
    </row>
    <row r="88" spans="1:14" x14ac:dyDescent="0.3">
      <c r="A88" t="s">
        <v>86</v>
      </c>
      <c r="B88" s="4">
        <v>8.3195937623326266</v>
      </c>
      <c r="C88" s="7">
        <v>1.6358049999999931</v>
      </c>
      <c r="D88" s="7">
        <v>3.8</v>
      </c>
      <c r="E88" s="7">
        <v>-14.399999999999999</v>
      </c>
      <c r="F88" s="7">
        <v>-1.2000000000000011</v>
      </c>
      <c r="G88" s="7">
        <v>-9.1</v>
      </c>
      <c r="H88" s="5">
        <f t="shared" si="1"/>
        <v>13.797430027024381</v>
      </c>
      <c r="J88" s="7"/>
      <c r="K88" s="7"/>
      <c r="L88" s="7"/>
      <c r="M88" s="7"/>
      <c r="N88" s="7"/>
    </row>
    <row r="89" spans="1:14" x14ac:dyDescent="0.3">
      <c r="A89" t="s">
        <v>87</v>
      </c>
      <c r="B89" s="4">
        <v>7.6870357948391508</v>
      </c>
      <c r="C89" s="7">
        <v>-2.2972550000000047</v>
      </c>
      <c r="D89" s="7">
        <v>5</v>
      </c>
      <c r="E89" s="7">
        <v>-16.5</v>
      </c>
      <c r="F89" s="7">
        <v>-5</v>
      </c>
      <c r="G89" s="7">
        <v>-7.7999999999999989</v>
      </c>
      <c r="H89" s="5">
        <f t="shared" si="1"/>
        <v>7.2922819184212218</v>
      </c>
      <c r="J89" s="7"/>
      <c r="K89" s="7"/>
      <c r="L89" s="7"/>
      <c r="M89" s="7"/>
      <c r="N89" s="7"/>
    </row>
    <row r="90" spans="1:14" x14ac:dyDescent="0.3">
      <c r="A90" t="s">
        <v>88</v>
      </c>
      <c r="B90" s="4">
        <v>7.6115996826087802</v>
      </c>
      <c r="C90" s="7">
        <v>-2.2972550000000194</v>
      </c>
      <c r="D90" s="7">
        <v>5</v>
      </c>
      <c r="E90" s="7">
        <v>-18.8</v>
      </c>
      <c r="F90" s="7">
        <v>-2.5999999999999979</v>
      </c>
      <c r="G90" s="7">
        <v>-7</v>
      </c>
      <c r="H90" s="5">
        <f t="shared" si="1"/>
        <v>3.8791357304895886</v>
      </c>
      <c r="J90" s="7"/>
      <c r="K90" s="7"/>
      <c r="L90" s="7"/>
      <c r="M90" s="7"/>
      <c r="N90" s="7"/>
    </row>
    <row r="91" spans="1:14" x14ac:dyDescent="0.3">
      <c r="A91" t="s">
        <v>89</v>
      </c>
      <c r="B91" s="4">
        <v>6.6692134915204679</v>
      </c>
      <c r="C91" s="7">
        <v>-2.2972550000000194</v>
      </c>
      <c r="D91" s="7">
        <v>3.4</v>
      </c>
      <c r="E91" s="7">
        <v>-11.6</v>
      </c>
      <c r="F91" s="7">
        <v>-2.5999999999999996</v>
      </c>
      <c r="G91" s="7">
        <v>-7</v>
      </c>
      <c r="H91" s="5">
        <f t="shared" si="1"/>
        <v>4.6839631132117763</v>
      </c>
      <c r="J91" s="7"/>
      <c r="K91" s="7"/>
      <c r="L91" s="7"/>
      <c r="M91" s="7"/>
      <c r="N91" s="7"/>
    </row>
    <row r="92" spans="1:14" x14ac:dyDescent="0.3">
      <c r="A92" t="s">
        <v>90</v>
      </c>
      <c r="B92" s="4">
        <v>6.5732326873711333</v>
      </c>
      <c r="C92" s="7">
        <v>0.56494999999999707</v>
      </c>
      <c r="D92" s="7">
        <v>4.0999999999999996</v>
      </c>
      <c r="E92" s="7">
        <v>-6.8000000000000007</v>
      </c>
      <c r="F92" s="7">
        <v>-2.5999999999999996</v>
      </c>
      <c r="G92" s="7">
        <v>-7.6000000000000005</v>
      </c>
      <c r="H92" s="5">
        <f t="shared" si="1"/>
        <v>10.213953286936061</v>
      </c>
      <c r="J92" s="7"/>
      <c r="K92" s="7"/>
      <c r="L92" s="7"/>
      <c r="M92" s="7"/>
      <c r="N92" s="7"/>
    </row>
    <row r="93" spans="1:14" x14ac:dyDescent="0.3">
      <c r="A93" t="s">
        <v>91</v>
      </c>
      <c r="B93" s="4">
        <v>5.8356541642608155</v>
      </c>
      <c r="C93" s="7">
        <v>-2.2972550000000194</v>
      </c>
      <c r="D93" s="7">
        <v>5</v>
      </c>
      <c r="E93" s="7">
        <v>-16.800000000000004</v>
      </c>
      <c r="F93" s="7">
        <v>-2.5999999999999943</v>
      </c>
      <c r="G93" s="7">
        <v>-7</v>
      </c>
      <c r="H93" s="5">
        <f t="shared" si="1"/>
        <v>3.879135730489585</v>
      </c>
      <c r="J93" s="7"/>
      <c r="K93" s="7"/>
      <c r="L93" s="7"/>
      <c r="M93" s="7"/>
      <c r="N93" s="7"/>
    </row>
    <row r="94" spans="1:14" x14ac:dyDescent="0.3">
      <c r="A94" t="s">
        <v>92</v>
      </c>
      <c r="B94" s="4">
        <v>5.7668801766329381</v>
      </c>
      <c r="C94" s="7">
        <v>-0.63561500000000526</v>
      </c>
      <c r="D94" s="7">
        <v>4.5</v>
      </c>
      <c r="E94" s="7">
        <v>-15.3</v>
      </c>
      <c r="F94" s="7">
        <v>-0.5</v>
      </c>
      <c r="G94" s="7">
        <v>-4.3000000000000007</v>
      </c>
      <c r="H94" s="5">
        <f t="shared" si="1"/>
        <v>1.9398492399681291</v>
      </c>
      <c r="J94" s="7"/>
      <c r="K94" s="7"/>
      <c r="L94" s="7"/>
      <c r="M94" s="7"/>
      <c r="N94" s="7"/>
    </row>
    <row r="95" spans="1:14" x14ac:dyDescent="0.3">
      <c r="A95" t="s">
        <v>93</v>
      </c>
      <c r="B95" s="4">
        <v>5.5393912041622508</v>
      </c>
      <c r="C95" s="7">
        <v>1.6358049999999931</v>
      </c>
      <c r="D95" s="7">
        <v>3.8</v>
      </c>
      <c r="E95" s="7">
        <v>-16</v>
      </c>
      <c r="F95" s="7">
        <v>-1.1999999999999993</v>
      </c>
      <c r="G95" s="7">
        <v>-4.3000000000000007</v>
      </c>
      <c r="H95" s="5">
        <f t="shared" si="1"/>
        <v>4.3049398798547083</v>
      </c>
      <c r="J95" s="7"/>
      <c r="K95" s="7"/>
      <c r="L95" s="7"/>
      <c r="M95" s="7"/>
      <c r="N95" s="7"/>
    </row>
    <row r="96" spans="1:14" x14ac:dyDescent="0.3">
      <c r="A96" t="s">
        <v>94</v>
      </c>
      <c r="B96" s="4">
        <v>5.3768784144317774</v>
      </c>
      <c r="C96" s="7">
        <v>0.25460499999999592</v>
      </c>
      <c r="D96" s="7">
        <v>5.4</v>
      </c>
      <c r="E96" s="7">
        <v>-12.4</v>
      </c>
      <c r="F96" s="7">
        <v>-1.6999999999999993</v>
      </c>
      <c r="G96" s="7">
        <v>-9.1</v>
      </c>
      <c r="H96" s="5">
        <f t="shared" si="1"/>
        <v>6.7329020186627755</v>
      </c>
      <c r="J96" s="7"/>
      <c r="K96" s="7"/>
      <c r="L96" s="7"/>
      <c r="M96" s="7"/>
      <c r="N96" s="7"/>
    </row>
    <row r="97" spans="1:14" x14ac:dyDescent="0.3">
      <c r="A97" t="s">
        <v>95</v>
      </c>
      <c r="B97" s="4">
        <v>4.8608550287630603</v>
      </c>
      <c r="C97" s="7">
        <v>0.25460499999999592</v>
      </c>
      <c r="D97" s="7">
        <v>5.8</v>
      </c>
      <c r="E97" s="7">
        <v>-12</v>
      </c>
      <c r="F97" s="7">
        <v>-1.6999999999999993</v>
      </c>
      <c r="G97" s="7">
        <v>-9.1</v>
      </c>
      <c r="H97" s="5">
        <f t="shared" si="1"/>
        <v>5.7506435886236584</v>
      </c>
      <c r="J97" s="7"/>
      <c r="K97" s="7"/>
      <c r="L97" s="7"/>
      <c r="M97" s="7"/>
      <c r="N97" s="7"/>
    </row>
    <row r="98" spans="1:14" x14ac:dyDescent="0.3">
      <c r="A98" t="s">
        <v>96</v>
      </c>
      <c r="B98" s="4">
        <v>4.8001225028257064</v>
      </c>
      <c r="C98" s="7">
        <v>-0.63561500000000526</v>
      </c>
      <c r="D98" s="7">
        <v>4.5999999999999996</v>
      </c>
      <c r="E98" s="7">
        <v>-15.200000000000001</v>
      </c>
      <c r="F98" s="7">
        <v>-0.49999999999999822</v>
      </c>
      <c r="G98" s="7">
        <v>-4.3000000000000007</v>
      </c>
      <c r="H98" s="5">
        <f t="shared" si="1"/>
        <v>1.9321067879117526</v>
      </c>
      <c r="J98" s="7"/>
      <c r="K98" s="7"/>
      <c r="L98" s="7"/>
      <c r="M98" s="7"/>
      <c r="N98" s="7"/>
    </row>
    <row r="99" spans="1:14" x14ac:dyDescent="0.3">
      <c r="A99" t="s">
        <v>97</v>
      </c>
      <c r="B99" s="4">
        <v>4.5642366958061569</v>
      </c>
      <c r="C99" s="7">
        <v>1.6358049999999931</v>
      </c>
      <c r="D99" s="7">
        <v>0.8</v>
      </c>
      <c r="E99" s="7">
        <v>-15.999999999999996</v>
      </c>
      <c r="F99" s="7">
        <v>-1.2000000000000028</v>
      </c>
      <c r="G99" s="7">
        <v>-5.9</v>
      </c>
      <c r="H99" s="5">
        <f t="shared" si="1"/>
        <v>8.8887560088407991</v>
      </c>
      <c r="J99" s="7"/>
      <c r="K99" s="7"/>
      <c r="L99" s="7"/>
      <c r="M99" s="7"/>
      <c r="N99" s="7"/>
    </row>
    <row r="100" spans="1:14" x14ac:dyDescent="0.3">
      <c r="A100" t="s">
        <v>98</v>
      </c>
      <c r="B100" s="4">
        <v>4.5220343617922731</v>
      </c>
      <c r="C100" s="7">
        <v>0.25460499999999592</v>
      </c>
      <c r="D100" s="7">
        <v>4.5</v>
      </c>
      <c r="E100" s="7">
        <v>-15.7</v>
      </c>
      <c r="F100" s="7">
        <v>-1.6000000000000014</v>
      </c>
      <c r="G100" s="7">
        <v>-10</v>
      </c>
      <c r="H100" s="5">
        <f t="shared" si="1"/>
        <v>10.480202231707798</v>
      </c>
      <c r="J100" s="7"/>
      <c r="K100" s="7"/>
      <c r="L100" s="7"/>
      <c r="M100" s="7"/>
      <c r="N100" s="7"/>
    </row>
    <row r="101" spans="1:14" x14ac:dyDescent="0.3">
      <c r="A101" t="s">
        <v>99</v>
      </c>
      <c r="B101" s="4">
        <v>4.127342885215481</v>
      </c>
      <c r="C101" s="7">
        <v>-2.2972550000000194</v>
      </c>
      <c r="D101" s="7">
        <v>3.4</v>
      </c>
      <c r="E101" s="7">
        <v>-6</v>
      </c>
      <c r="F101" s="7">
        <v>-2.5999999999999996</v>
      </c>
      <c r="G101" s="7">
        <v>-7</v>
      </c>
      <c r="H101" s="5">
        <f t="shared" si="1"/>
        <v>4.6839631132117763</v>
      </c>
      <c r="J101" s="7"/>
      <c r="K101" s="7"/>
      <c r="L101" s="7"/>
      <c r="M101" s="7"/>
      <c r="N101" s="7"/>
    </row>
    <row r="102" spans="1:14" x14ac:dyDescent="0.3">
      <c r="A102" t="s">
        <v>100</v>
      </c>
      <c r="B102" s="4">
        <v>3.6391264384809401</v>
      </c>
      <c r="C102" s="7">
        <v>1.6358049999999931</v>
      </c>
      <c r="D102" s="7">
        <v>3.4</v>
      </c>
      <c r="E102" s="7">
        <v>-14.299999999999999</v>
      </c>
      <c r="F102" s="7">
        <v>-1.2000000000000011</v>
      </c>
      <c r="G102" s="7">
        <v>-9</v>
      </c>
      <c r="H102" s="5">
        <f t="shared" si="1"/>
        <v>15.544893874368473</v>
      </c>
      <c r="J102" s="7"/>
      <c r="K102" s="7"/>
      <c r="L102" s="7"/>
      <c r="M102" s="7"/>
      <c r="N102" s="7"/>
    </row>
    <row r="103" spans="1:14" x14ac:dyDescent="0.3">
      <c r="A103" t="s">
        <v>101</v>
      </c>
      <c r="B103" s="4">
        <v>3.638694937794611</v>
      </c>
      <c r="C103" s="7">
        <v>-2.9258350000000064</v>
      </c>
      <c r="D103" s="7">
        <v>3.4</v>
      </c>
      <c r="E103" s="7">
        <v>-16.8</v>
      </c>
      <c r="F103" s="7">
        <v>-1.5999999999999979</v>
      </c>
      <c r="G103" s="7">
        <v>-10</v>
      </c>
      <c r="H103" s="5">
        <f t="shared" si="1"/>
        <v>7.0919947947409305</v>
      </c>
      <c r="J103" s="7"/>
      <c r="K103" s="7"/>
      <c r="L103" s="7"/>
      <c r="M103" s="7"/>
      <c r="N103" s="7"/>
    </row>
    <row r="104" spans="1:14" x14ac:dyDescent="0.3">
      <c r="A104" t="s">
        <v>102</v>
      </c>
      <c r="B104" s="4">
        <v>3.338250526651235</v>
      </c>
      <c r="C104" s="7">
        <v>-2.2972550000000194</v>
      </c>
      <c r="D104" s="7">
        <v>5</v>
      </c>
      <c r="E104" s="7">
        <v>-9.2000000000000011</v>
      </c>
      <c r="F104" s="7">
        <v>-2.5999999999999996</v>
      </c>
      <c r="G104" s="7">
        <v>-7</v>
      </c>
      <c r="H104" s="5">
        <f t="shared" si="1"/>
        <v>3.8791357304895904</v>
      </c>
      <c r="J104" s="7"/>
      <c r="K104" s="7"/>
      <c r="L104" s="7"/>
      <c r="M104" s="7"/>
      <c r="N104" s="7"/>
    </row>
    <row r="105" spans="1:14" x14ac:dyDescent="0.3">
      <c r="A105" t="s">
        <v>103</v>
      </c>
      <c r="B105" s="4">
        <v>3.2841715592652232</v>
      </c>
      <c r="C105" s="7">
        <v>1.6358049999999931</v>
      </c>
      <c r="D105" s="7">
        <v>3.8</v>
      </c>
      <c r="E105" s="7">
        <v>-12.600000000000001</v>
      </c>
      <c r="F105" s="7">
        <v>-0.99999999999999822</v>
      </c>
      <c r="G105" s="7">
        <v>-6.8000000000000007</v>
      </c>
      <c r="H105" s="5">
        <f t="shared" si="1"/>
        <v>8.1941312406319327</v>
      </c>
      <c r="J105" s="7"/>
      <c r="K105" s="7"/>
      <c r="L105" s="7"/>
      <c r="M105" s="7"/>
      <c r="N105" s="7"/>
    </row>
    <row r="106" spans="1:14" x14ac:dyDescent="0.3">
      <c r="A106" t="s">
        <v>104</v>
      </c>
      <c r="B106" s="4">
        <v>3.1346450535766524</v>
      </c>
      <c r="C106" s="7">
        <v>-0.33072499999999128</v>
      </c>
      <c r="D106" s="7">
        <v>5</v>
      </c>
      <c r="E106" s="7">
        <v>-16.5</v>
      </c>
      <c r="F106" s="7">
        <v>-4</v>
      </c>
      <c r="G106" s="7">
        <v>-7.7999999999999989</v>
      </c>
      <c r="H106" s="5">
        <f t="shared" si="1"/>
        <v>8.2310153233878829</v>
      </c>
      <c r="J106" s="7"/>
      <c r="K106" s="7"/>
      <c r="L106" s="7"/>
      <c r="M106" s="7"/>
      <c r="N106" s="7"/>
    </row>
    <row r="107" spans="1:14" x14ac:dyDescent="0.3">
      <c r="A107" t="s">
        <v>105</v>
      </c>
      <c r="B107" s="4">
        <v>3.0104088994450384</v>
      </c>
      <c r="C107" s="7">
        <v>-1.4015800000000018</v>
      </c>
      <c r="D107" s="7">
        <v>5</v>
      </c>
      <c r="E107" s="7">
        <v>-16.5</v>
      </c>
      <c r="F107" s="7">
        <v>-4</v>
      </c>
      <c r="G107" s="7">
        <v>-7.7999999999999989</v>
      </c>
      <c r="H107" s="5">
        <f t="shared" si="1"/>
        <v>7.1828938709935128</v>
      </c>
      <c r="J107" s="7"/>
      <c r="K107" s="7"/>
      <c r="L107" s="7"/>
      <c r="M107" s="7"/>
      <c r="N107" s="7"/>
    </row>
    <row r="108" spans="1:14" x14ac:dyDescent="0.3">
      <c r="A108" t="s">
        <v>106</v>
      </c>
      <c r="B108" s="4">
        <v>3.0085410634448402</v>
      </c>
      <c r="C108" s="7">
        <v>-2.9258350000000064</v>
      </c>
      <c r="D108" s="7">
        <v>5.4</v>
      </c>
      <c r="E108" s="7">
        <v>-12.4</v>
      </c>
      <c r="F108" s="7">
        <v>-1.6999999999999993</v>
      </c>
      <c r="G108" s="7">
        <v>-9.1</v>
      </c>
      <c r="H108" s="5">
        <f t="shared" si="1"/>
        <v>4.0929889788854954</v>
      </c>
      <c r="J108" s="7"/>
      <c r="K108" s="7"/>
      <c r="L108" s="7"/>
      <c r="M108" s="7"/>
      <c r="N108" s="7"/>
    </row>
    <row r="109" spans="1:14" x14ac:dyDescent="0.3">
      <c r="A109" t="s">
        <v>107</v>
      </c>
      <c r="B109" s="4">
        <v>3.0014545264590304</v>
      </c>
      <c r="C109" s="7">
        <v>1.6358049999999931</v>
      </c>
      <c r="D109" s="7">
        <v>3.5</v>
      </c>
      <c r="E109" s="7">
        <v>-20.299999999999997</v>
      </c>
      <c r="F109" s="7">
        <v>-1.2000000000000028</v>
      </c>
      <c r="G109" s="7">
        <v>-9.1</v>
      </c>
      <c r="H109" s="5">
        <f t="shared" si="1"/>
        <v>15.313621618497853</v>
      </c>
      <c r="J109" s="7"/>
      <c r="K109" s="7"/>
      <c r="L109" s="7"/>
      <c r="M109" s="7"/>
      <c r="N109" s="7"/>
    </row>
    <row r="110" spans="1:14" x14ac:dyDescent="0.3">
      <c r="A110" t="s">
        <v>108</v>
      </c>
      <c r="B110" s="4">
        <v>2.9135824657592959</v>
      </c>
      <c r="C110" s="7">
        <v>-2.0168150000000025</v>
      </c>
      <c r="D110" s="7">
        <v>0.8</v>
      </c>
      <c r="E110" s="7">
        <v>-15.999999999999996</v>
      </c>
      <c r="F110" s="7">
        <v>0</v>
      </c>
      <c r="G110" s="7">
        <v>-5.9</v>
      </c>
      <c r="H110" s="5">
        <f t="shared" si="1"/>
        <v>1.9417523559099874</v>
      </c>
      <c r="J110" s="7"/>
      <c r="K110" s="7"/>
      <c r="L110" s="7"/>
      <c r="M110" s="7"/>
      <c r="N110" s="7"/>
    </row>
    <row r="111" spans="1:14" x14ac:dyDescent="0.3">
      <c r="A111" t="s">
        <v>109</v>
      </c>
      <c r="B111" s="4">
        <v>2.8181534794106224</v>
      </c>
      <c r="C111" s="7">
        <v>-0.63561500000000526</v>
      </c>
      <c r="D111" s="7">
        <v>4.5</v>
      </c>
      <c r="E111" s="7">
        <v>-13.7</v>
      </c>
      <c r="F111" s="7">
        <v>-0.5</v>
      </c>
      <c r="G111" s="7">
        <v>-9.1</v>
      </c>
      <c r="H111" s="5">
        <f t="shared" si="1"/>
        <v>6.3043474580460028</v>
      </c>
      <c r="J111" s="7"/>
      <c r="K111" s="7"/>
      <c r="L111" s="7"/>
      <c r="M111" s="7"/>
      <c r="N111" s="7"/>
    </row>
    <row r="112" spans="1:14" x14ac:dyDescent="0.3">
      <c r="A112" t="s">
        <v>110</v>
      </c>
      <c r="B112" s="4">
        <v>2.7978274559990868</v>
      </c>
      <c r="C112" s="7">
        <v>-1.2493300000000018</v>
      </c>
      <c r="D112" s="7">
        <v>3.4</v>
      </c>
      <c r="E112" s="7">
        <v>-9.1</v>
      </c>
      <c r="F112" s="7">
        <v>-7.2999999999999989</v>
      </c>
      <c r="G112" s="7">
        <v>-9.1999999999999993</v>
      </c>
      <c r="H112" s="5">
        <f t="shared" si="1"/>
        <v>23.236923467638544</v>
      </c>
      <c r="J112" s="7"/>
      <c r="K112" s="7"/>
      <c r="L112" s="7"/>
      <c r="M112" s="7"/>
      <c r="N112" s="7"/>
    </row>
    <row r="113" spans="1:14" x14ac:dyDescent="0.3">
      <c r="A113" t="s">
        <v>111</v>
      </c>
      <c r="B113" s="4">
        <v>2.7512349613127491</v>
      </c>
      <c r="C113" s="7">
        <v>-1.7064700000000084</v>
      </c>
      <c r="D113" s="7">
        <v>5</v>
      </c>
      <c r="E113" s="7">
        <v>-21.5</v>
      </c>
      <c r="F113" s="7">
        <v>0</v>
      </c>
      <c r="G113" s="7">
        <v>-9</v>
      </c>
      <c r="H113" s="5">
        <f t="shared" si="1"/>
        <v>3.8706562183222504</v>
      </c>
      <c r="J113" s="7"/>
      <c r="K113" s="7"/>
      <c r="L113" s="7"/>
      <c r="M113" s="7"/>
      <c r="N113" s="7"/>
    </row>
    <row r="114" spans="1:14" x14ac:dyDescent="0.3">
      <c r="A114" t="s">
        <v>112</v>
      </c>
      <c r="B114" s="4">
        <v>2.7090360478190036</v>
      </c>
      <c r="C114" s="7">
        <v>-2.441070000000007</v>
      </c>
      <c r="D114" s="7">
        <v>0.8</v>
      </c>
      <c r="E114" s="7">
        <v>-22.5</v>
      </c>
      <c r="F114" s="7">
        <v>-0.30000000000000071</v>
      </c>
      <c r="G114" s="7">
        <v>-8.1</v>
      </c>
      <c r="H114" s="5">
        <f t="shared" si="1"/>
        <v>3.3688029988817298</v>
      </c>
      <c r="J114" s="7"/>
      <c r="K114" s="7"/>
      <c r="L114" s="7"/>
      <c r="M114" s="7"/>
      <c r="N114" s="7"/>
    </row>
    <row r="115" spans="1:14" x14ac:dyDescent="0.3">
      <c r="A115" t="s">
        <v>113</v>
      </c>
      <c r="B115" s="4">
        <v>2.651169936609322</v>
      </c>
      <c r="C115" s="7">
        <v>-1.4015800000000018</v>
      </c>
      <c r="D115" s="7">
        <v>0.8</v>
      </c>
      <c r="E115" s="7">
        <v>-11.999999999999998</v>
      </c>
      <c r="F115" s="7">
        <v>-4.0000000000000018</v>
      </c>
      <c r="G115" s="7">
        <v>-7.7999999999999989</v>
      </c>
      <c r="H115" s="5">
        <f t="shared" si="1"/>
        <v>16.565597555781714</v>
      </c>
      <c r="J115" s="7"/>
      <c r="K115" s="7"/>
      <c r="L115" s="7"/>
      <c r="M115" s="7"/>
      <c r="N115" s="7"/>
    </row>
    <row r="116" spans="1:14" x14ac:dyDescent="0.3">
      <c r="A116" t="s">
        <v>114</v>
      </c>
      <c r="B116" s="4">
        <v>2.6357100866167111</v>
      </c>
      <c r="C116" s="7">
        <v>-2.0228349999999917</v>
      </c>
      <c r="D116" s="7">
        <v>5</v>
      </c>
      <c r="E116" s="7">
        <v>-11.8</v>
      </c>
      <c r="F116" s="7">
        <v>-7</v>
      </c>
      <c r="G116" s="7">
        <v>-5.9</v>
      </c>
      <c r="H116" s="5">
        <f t="shared" si="1"/>
        <v>7.6731477378224682</v>
      </c>
      <c r="J116" s="7"/>
      <c r="K116" s="7"/>
      <c r="L116" s="7"/>
      <c r="M116" s="7"/>
      <c r="N116" s="7"/>
    </row>
    <row r="117" spans="1:14" x14ac:dyDescent="0.3">
      <c r="A117" t="s">
        <v>115</v>
      </c>
      <c r="B117" s="4">
        <v>2.6124639297842629</v>
      </c>
      <c r="C117" s="7">
        <v>-2.9258350000000064</v>
      </c>
      <c r="D117" s="7">
        <v>4.2</v>
      </c>
      <c r="E117" s="7">
        <v>-13.600000000000001</v>
      </c>
      <c r="F117" s="7">
        <v>-1.6999999999999993</v>
      </c>
      <c r="G117" s="7">
        <v>-9.1</v>
      </c>
      <c r="H117" s="5">
        <f t="shared" si="1"/>
        <v>5.0581458609440721</v>
      </c>
      <c r="J117" s="7"/>
      <c r="K117" s="7"/>
      <c r="L117" s="7"/>
      <c r="M117" s="7"/>
      <c r="N117" s="7"/>
    </row>
    <row r="118" spans="1:14" x14ac:dyDescent="0.3">
      <c r="A118" t="s">
        <v>116</v>
      </c>
      <c r="B118" s="4">
        <v>2.5788505355524318</v>
      </c>
      <c r="C118" s="7">
        <v>-1.7064700000000084</v>
      </c>
      <c r="D118" s="7">
        <v>3.4</v>
      </c>
      <c r="E118" s="7">
        <v>-11.6</v>
      </c>
      <c r="F118" s="7">
        <v>0</v>
      </c>
      <c r="G118" s="7">
        <v>-7</v>
      </c>
      <c r="H118" s="5">
        <f t="shared" si="1"/>
        <v>2.6289124658712959</v>
      </c>
      <c r="J118" s="7"/>
      <c r="K118" s="7"/>
      <c r="L118" s="7"/>
      <c r="M118" s="7"/>
      <c r="N118" s="7"/>
    </row>
    <row r="119" spans="1:14" x14ac:dyDescent="0.3">
      <c r="A119" t="s">
        <v>117</v>
      </c>
      <c r="B119" s="4">
        <v>2.5693447009055119</v>
      </c>
      <c r="C119" s="7">
        <v>-0.63561500000000526</v>
      </c>
      <c r="D119" s="7">
        <v>4.5999999999999996</v>
      </c>
      <c r="E119" s="7">
        <v>-13.6</v>
      </c>
      <c r="F119" s="7">
        <v>-0.5</v>
      </c>
      <c r="G119" s="7">
        <v>-9.1</v>
      </c>
      <c r="H119" s="5">
        <f t="shared" si="1"/>
        <v>6.164919904540846</v>
      </c>
      <c r="J119" s="7"/>
      <c r="K119" s="7"/>
      <c r="L119" s="7"/>
      <c r="M119" s="7"/>
      <c r="N119" s="7"/>
    </row>
    <row r="120" spans="1:14" x14ac:dyDescent="0.3">
      <c r="A120" t="s">
        <v>118</v>
      </c>
      <c r="B120" s="4">
        <v>2.5366162036007278</v>
      </c>
      <c r="C120" s="7">
        <v>1.6358049999999931</v>
      </c>
      <c r="D120" s="7">
        <v>3.4</v>
      </c>
      <c r="E120" s="7">
        <v>-11.6</v>
      </c>
      <c r="F120" s="7">
        <v>-1.2000000000000011</v>
      </c>
      <c r="G120" s="7">
        <v>-7</v>
      </c>
      <c r="H120" s="5">
        <f t="shared" si="1"/>
        <v>9.8512771263045504</v>
      </c>
      <c r="J120" s="7"/>
      <c r="K120" s="7"/>
      <c r="L120" s="7"/>
      <c r="M120" s="7"/>
      <c r="N120" s="7"/>
    </row>
    <row r="121" spans="1:14" x14ac:dyDescent="0.3">
      <c r="A121" t="s">
        <v>119</v>
      </c>
      <c r="B121" s="4">
        <v>2.4863184424932787</v>
      </c>
      <c r="C121" s="7">
        <v>-1.7064700000000084</v>
      </c>
      <c r="D121" s="7">
        <v>0.8</v>
      </c>
      <c r="E121" s="7">
        <v>-22.5</v>
      </c>
      <c r="F121" s="7">
        <v>0</v>
      </c>
      <c r="G121" s="7">
        <v>-8.1</v>
      </c>
      <c r="H121" s="5">
        <f t="shared" si="1"/>
        <v>3.8686134587283836</v>
      </c>
      <c r="J121" s="7"/>
      <c r="K121" s="7"/>
      <c r="L121" s="7"/>
      <c r="M121" s="7"/>
      <c r="N121" s="7"/>
    </row>
    <row r="122" spans="1:14" x14ac:dyDescent="0.3">
      <c r="A122" t="s">
        <v>120</v>
      </c>
      <c r="B122" s="4">
        <v>2.4309608739453763</v>
      </c>
      <c r="C122" s="7">
        <v>0.56494999999999707</v>
      </c>
      <c r="D122" s="7">
        <v>4.5999999999999996</v>
      </c>
      <c r="E122" s="7">
        <v>-8.9</v>
      </c>
      <c r="F122" s="7">
        <v>-2.9000000000000004</v>
      </c>
      <c r="G122" s="7">
        <v>-8</v>
      </c>
      <c r="H122" s="5">
        <f t="shared" si="1"/>
        <v>9.6058758480899851</v>
      </c>
      <c r="J122" s="7"/>
      <c r="K122" s="7"/>
      <c r="L122" s="7"/>
      <c r="M122" s="7"/>
      <c r="N122" s="7"/>
    </row>
    <row r="123" spans="1:14" x14ac:dyDescent="0.3">
      <c r="A123" t="s">
        <v>121</v>
      </c>
      <c r="B123" s="4">
        <v>2.4168784817710716</v>
      </c>
      <c r="C123" s="7">
        <v>-3.7230100000000093</v>
      </c>
      <c r="D123" s="7">
        <v>4.5999999999999996</v>
      </c>
      <c r="E123" s="7">
        <v>-13.6</v>
      </c>
      <c r="F123" s="7">
        <v>0</v>
      </c>
      <c r="G123" s="7">
        <v>-9.1</v>
      </c>
      <c r="H123" s="5">
        <f t="shared" si="1"/>
        <v>2.5269939051730494</v>
      </c>
      <c r="J123" s="7"/>
      <c r="K123" s="7"/>
      <c r="L123" s="7"/>
      <c r="M123" s="7"/>
      <c r="N123" s="7"/>
    </row>
    <row r="124" spans="1:14" x14ac:dyDescent="0.3">
      <c r="A124" t="s">
        <v>122</v>
      </c>
      <c r="B124" s="4">
        <v>2.3707800812309281</v>
      </c>
      <c r="C124" s="7">
        <v>-0.33072499999999128</v>
      </c>
      <c r="D124" s="7">
        <v>0.8</v>
      </c>
      <c r="E124" s="7">
        <v>-11.999999999999998</v>
      </c>
      <c r="F124" s="7">
        <v>-4.0000000000000018</v>
      </c>
      <c r="G124" s="7">
        <v>-7.7999999999999989</v>
      </c>
      <c r="H124" s="5">
        <f t="shared" si="1"/>
        <v>24.38185750097195</v>
      </c>
      <c r="J124" s="7"/>
      <c r="K124" s="7"/>
      <c r="L124" s="7"/>
      <c r="M124" s="7"/>
      <c r="N124" s="7"/>
    </row>
    <row r="125" spans="1:14" x14ac:dyDescent="0.3">
      <c r="A125" t="s">
        <v>123</v>
      </c>
      <c r="B125" s="4">
        <v>2.3613702944186024</v>
      </c>
      <c r="C125" s="7">
        <v>-3.7230100000000093</v>
      </c>
      <c r="D125" s="7">
        <v>4.5999999999999996</v>
      </c>
      <c r="E125" s="7">
        <v>-13.1</v>
      </c>
      <c r="F125" s="7">
        <v>0</v>
      </c>
      <c r="G125" s="7">
        <v>-10</v>
      </c>
      <c r="H125" s="5">
        <f t="shared" si="1"/>
        <v>3.1593640047135678</v>
      </c>
      <c r="J125" s="7"/>
      <c r="K125" s="7"/>
      <c r="L125" s="7"/>
      <c r="M125" s="7"/>
      <c r="N125" s="7"/>
    </row>
    <row r="126" spans="1:14" x14ac:dyDescent="0.3">
      <c r="A126" t="s">
        <v>124</v>
      </c>
      <c r="B126" s="4">
        <v>2.3492463349629755</v>
      </c>
      <c r="C126" s="7">
        <v>-2.0168150000000025</v>
      </c>
      <c r="D126" s="7">
        <v>5.4</v>
      </c>
      <c r="E126" s="7">
        <v>-12.4</v>
      </c>
      <c r="F126" s="7">
        <v>-1.6999999999999993</v>
      </c>
      <c r="G126" s="7">
        <v>-9.1</v>
      </c>
      <c r="H126" s="5">
        <f t="shared" si="1"/>
        <v>4.8815425736727116</v>
      </c>
      <c r="J126" s="7"/>
      <c r="K126" s="7"/>
      <c r="L126" s="7"/>
      <c r="M126" s="7"/>
      <c r="N126" s="7"/>
    </row>
    <row r="127" spans="1:14" x14ac:dyDescent="0.3">
      <c r="A127" t="s">
        <v>125</v>
      </c>
      <c r="B127" s="4">
        <v>2.337764406501365</v>
      </c>
      <c r="C127" s="7">
        <v>-1.7064700000000084</v>
      </c>
      <c r="D127" s="7">
        <v>3.4</v>
      </c>
      <c r="E127" s="7">
        <v>-14.299999999999999</v>
      </c>
      <c r="F127" s="7">
        <v>0</v>
      </c>
      <c r="G127" s="7">
        <v>-9</v>
      </c>
      <c r="H127" s="5">
        <f t="shared" si="1"/>
        <v>4.6708701726114157</v>
      </c>
      <c r="J127" s="7"/>
      <c r="K127" s="7"/>
      <c r="L127" s="7"/>
      <c r="M127" s="7"/>
      <c r="N127" s="7"/>
    </row>
    <row r="128" spans="1:14" x14ac:dyDescent="0.3">
      <c r="A128" t="s">
        <v>126</v>
      </c>
      <c r="B128" s="4">
        <v>2.3367598999608559</v>
      </c>
      <c r="C128" s="7">
        <v>-2.441070000000007</v>
      </c>
      <c r="D128" s="7">
        <v>0.8</v>
      </c>
      <c r="E128" s="7">
        <v>-11.6</v>
      </c>
      <c r="F128" s="7">
        <v>-0.5</v>
      </c>
      <c r="G128" s="7">
        <v>-9</v>
      </c>
      <c r="H128" s="5">
        <f t="shared" si="1"/>
        <v>4.8389529110554994</v>
      </c>
      <c r="J128" s="7"/>
      <c r="K128" s="7"/>
      <c r="L128" s="7"/>
      <c r="M128" s="7"/>
      <c r="N128" s="7"/>
    </row>
    <row r="129" spans="1:14" x14ac:dyDescent="0.3">
      <c r="A129" t="s">
        <v>127</v>
      </c>
      <c r="B129" s="4">
        <v>2.3241908910460545</v>
      </c>
      <c r="C129" s="7">
        <v>-1.7064700000000084</v>
      </c>
      <c r="D129" s="7">
        <v>5</v>
      </c>
      <c r="E129" s="7">
        <v>-18.8</v>
      </c>
      <c r="F129" s="7">
        <v>0</v>
      </c>
      <c r="G129" s="7">
        <v>-7</v>
      </c>
      <c r="H129" s="5">
        <f t="shared" si="1"/>
        <v>2.4080062892943337</v>
      </c>
      <c r="J129" s="7"/>
      <c r="K129" s="7"/>
      <c r="L129" s="7"/>
      <c r="M129" s="7"/>
      <c r="N129" s="7"/>
    </row>
    <row r="130" spans="1:14" x14ac:dyDescent="0.3">
      <c r="A130" t="s">
        <v>128</v>
      </c>
      <c r="B130" s="4">
        <v>2.2953929658866317</v>
      </c>
      <c r="C130" s="7">
        <v>-2.441070000000007</v>
      </c>
      <c r="D130" s="7">
        <v>5</v>
      </c>
      <c r="E130" s="7">
        <v>-21.5</v>
      </c>
      <c r="F130" s="7">
        <v>-0.5</v>
      </c>
      <c r="G130" s="7">
        <v>-9</v>
      </c>
      <c r="H130" s="5">
        <f t="shared" si="1"/>
        <v>3.6598764617762956</v>
      </c>
      <c r="J130" s="7"/>
      <c r="K130" s="7"/>
      <c r="L130" s="7"/>
      <c r="M130" s="7"/>
      <c r="N130" s="7"/>
    </row>
    <row r="131" spans="1:14" x14ac:dyDescent="0.3">
      <c r="A131" t="s">
        <v>129</v>
      </c>
      <c r="B131" s="4">
        <v>2.253157737968674</v>
      </c>
      <c r="C131" s="7">
        <v>-1.7064700000000084</v>
      </c>
      <c r="D131" s="7">
        <v>3.4</v>
      </c>
      <c r="E131" s="7">
        <v>-16.100000000000009</v>
      </c>
      <c r="F131" s="7">
        <v>0</v>
      </c>
      <c r="G131" s="7">
        <v>-8.1</v>
      </c>
      <c r="H131" s="5">
        <f t="shared" ref="H131:H194" si="2">1+1/(0.005*EXP(0.6*D131)+6*EXP(0.45*(F131+G131-C131))*(1+0.005*EXP(0.6*D131)))</f>
        <v>3.56915689612554</v>
      </c>
      <c r="J131" s="7"/>
      <c r="K131" s="7"/>
      <c r="L131" s="7"/>
      <c r="M131" s="7"/>
      <c r="N131" s="7"/>
    </row>
    <row r="132" spans="1:14" x14ac:dyDescent="0.3">
      <c r="A132" t="s">
        <v>130</v>
      </c>
      <c r="B132" s="4">
        <v>2.2332147587298348</v>
      </c>
      <c r="C132" s="7">
        <v>1.6358049999999931</v>
      </c>
      <c r="D132" s="7">
        <v>3.4</v>
      </c>
      <c r="E132" s="7">
        <v>-16.100000000000009</v>
      </c>
      <c r="F132" s="7">
        <v>-0.99999999999999289</v>
      </c>
      <c r="G132" s="7">
        <v>-8.1</v>
      </c>
      <c r="H132" s="5">
        <f t="shared" si="2"/>
        <v>12.343077904447624</v>
      </c>
      <c r="J132" s="7"/>
      <c r="K132" s="7"/>
      <c r="L132" s="7"/>
      <c r="M132" s="7"/>
      <c r="N132" s="7"/>
    </row>
    <row r="133" spans="1:14" x14ac:dyDescent="0.3">
      <c r="A133" t="s">
        <v>131</v>
      </c>
      <c r="B133" s="4">
        <v>2.1868885292929225</v>
      </c>
      <c r="C133" s="7">
        <v>-1.7064700000000084</v>
      </c>
      <c r="D133" s="7">
        <v>5</v>
      </c>
      <c r="E133" s="7">
        <v>-16.800000000000004</v>
      </c>
      <c r="F133" s="7">
        <v>0</v>
      </c>
      <c r="G133" s="7">
        <v>-7</v>
      </c>
      <c r="H133" s="5">
        <f t="shared" si="2"/>
        <v>2.4080062892943337</v>
      </c>
      <c r="J133" s="7"/>
      <c r="K133" s="7"/>
      <c r="L133" s="7"/>
      <c r="M133" s="7"/>
      <c r="N133" s="7"/>
    </row>
    <row r="134" spans="1:14" x14ac:dyDescent="0.3">
      <c r="A134" t="s">
        <v>132</v>
      </c>
      <c r="B134" s="4">
        <v>2.1343341293051181</v>
      </c>
      <c r="C134" s="7">
        <v>-2.220554999999993</v>
      </c>
      <c r="D134" s="7">
        <v>3.4</v>
      </c>
      <c r="E134" s="7">
        <v>-6</v>
      </c>
      <c r="F134" s="7">
        <v>0</v>
      </c>
      <c r="G134" s="7">
        <v>-7</v>
      </c>
      <c r="H134" s="5">
        <f t="shared" si="2"/>
        <v>2.3094340588400009</v>
      </c>
      <c r="J134" s="7"/>
      <c r="K134" s="7"/>
      <c r="L134" s="7"/>
      <c r="M134" s="7"/>
      <c r="N134" s="7"/>
    </row>
    <row r="135" spans="1:14" x14ac:dyDescent="0.3">
      <c r="A135" t="s">
        <v>133</v>
      </c>
      <c r="B135" s="4">
        <v>2.1329308999444634</v>
      </c>
      <c r="C135" s="7">
        <v>-0.63561500000000526</v>
      </c>
      <c r="D135" s="7">
        <v>5.3</v>
      </c>
      <c r="E135" s="7">
        <v>-19.099999999999998</v>
      </c>
      <c r="F135" s="7">
        <v>-0.50000000000000355</v>
      </c>
      <c r="G135" s="7">
        <v>-9.1</v>
      </c>
      <c r="H135" s="5">
        <f t="shared" si="2"/>
        <v>5.1801046708751848</v>
      </c>
      <c r="J135" s="7"/>
      <c r="K135" s="7"/>
      <c r="L135" s="7"/>
      <c r="M135" s="7"/>
      <c r="N135" s="7"/>
    </row>
    <row r="136" spans="1:14" x14ac:dyDescent="0.3">
      <c r="A136" t="s">
        <v>134</v>
      </c>
      <c r="B136" s="4">
        <v>2.1251281126165544</v>
      </c>
      <c r="C136" s="7">
        <v>0.56494999999999707</v>
      </c>
      <c r="D136" s="7">
        <v>4.5</v>
      </c>
      <c r="E136" s="7">
        <v>-9</v>
      </c>
      <c r="F136" s="7">
        <v>-2.9000000000000004</v>
      </c>
      <c r="G136" s="7">
        <v>-8</v>
      </c>
      <c r="H136" s="5">
        <f t="shared" si="2"/>
        <v>9.9733976320684228</v>
      </c>
      <c r="J136" s="7"/>
      <c r="K136" s="7"/>
      <c r="L136" s="7"/>
      <c r="M136" s="7"/>
      <c r="N136" s="7"/>
    </row>
    <row r="137" spans="1:14" x14ac:dyDescent="0.3">
      <c r="A137" t="s">
        <v>135</v>
      </c>
      <c r="B137" s="4">
        <v>2.1243378469492957</v>
      </c>
      <c r="C137" s="7">
        <v>-0.63561500000000526</v>
      </c>
      <c r="D137" s="7">
        <v>4.5999999999999996</v>
      </c>
      <c r="E137" s="7">
        <v>-13.1</v>
      </c>
      <c r="F137" s="7">
        <v>-0.5</v>
      </c>
      <c r="G137" s="7">
        <v>-10</v>
      </c>
      <c r="H137" s="5">
        <f t="shared" si="2"/>
        <v>7.4331636245699704</v>
      </c>
      <c r="J137" s="7"/>
      <c r="K137" s="7"/>
      <c r="L137" s="7"/>
      <c r="M137" s="7"/>
      <c r="N137" s="7"/>
    </row>
    <row r="138" spans="1:14" x14ac:dyDescent="0.3">
      <c r="A138" t="s">
        <v>136</v>
      </c>
      <c r="B138" s="4">
        <v>2.1182448780630629</v>
      </c>
      <c r="C138" s="7">
        <v>-0.63561500000000526</v>
      </c>
      <c r="D138" s="7">
        <v>4.5</v>
      </c>
      <c r="E138" s="7">
        <v>-13.2</v>
      </c>
      <c r="F138" s="7">
        <v>-0.5</v>
      </c>
      <c r="G138" s="7">
        <v>-10</v>
      </c>
      <c r="H138" s="5">
        <f t="shared" si="2"/>
        <v>7.6437229149018577</v>
      </c>
      <c r="J138" s="7"/>
      <c r="K138" s="7"/>
      <c r="L138" s="7"/>
      <c r="M138" s="7"/>
      <c r="N138" s="7"/>
    </row>
    <row r="139" spans="1:14" x14ac:dyDescent="0.3">
      <c r="A139" t="s">
        <v>137</v>
      </c>
      <c r="B139" s="4">
        <v>2.0452015063002493</v>
      </c>
      <c r="C139" s="7">
        <v>0.25460499999999592</v>
      </c>
      <c r="D139" s="7">
        <v>4.5999999999999996</v>
      </c>
      <c r="E139" s="7">
        <v>-15.6</v>
      </c>
      <c r="F139" s="7">
        <v>-1.5999999999999996</v>
      </c>
      <c r="G139" s="7">
        <v>-10</v>
      </c>
      <c r="H139" s="5">
        <f t="shared" si="2"/>
        <v>10.073040109810947</v>
      </c>
      <c r="J139" s="7"/>
      <c r="K139" s="7"/>
      <c r="L139" s="7"/>
      <c r="M139" s="7"/>
      <c r="N139" s="7"/>
    </row>
    <row r="140" spans="1:14" x14ac:dyDescent="0.3">
      <c r="A140" t="s">
        <v>138</v>
      </c>
      <c r="B140" s="4">
        <v>2.0128114648821795</v>
      </c>
      <c r="C140" s="7">
        <v>-1.2493300000000018</v>
      </c>
      <c r="D140" s="7">
        <v>4.5999999999999996</v>
      </c>
      <c r="E140" s="7">
        <v>-7.9</v>
      </c>
      <c r="F140" s="7">
        <v>-7.2999999999999989</v>
      </c>
      <c r="G140" s="7">
        <v>-9.1999999999999993</v>
      </c>
      <c r="H140" s="5">
        <f t="shared" si="2"/>
        <v>12.658968478262999</v>
      </c>
      <c r="J140" s="7"/>
      <c r="K140" s="7"/>
      <c r="L140" s="7"/>
      <c r="M140" s="7"/>
      <c r="N140" s="7"/>
    </row>
    <row r="141" spans="1:14" x14ac:dyDescent="0.3">
      <c r="A141" t="s">
        <v>139</v>
      </c>
      <c r="B141" s="4">
        <v>2.002134608079067</v>
      </c>
      <c r="C141" s="7">
        <v>1.6358049999999931</v>
      </c>
      <c r="D141" s="7">
        <v>3.5</v>
      </c>
      <c r="E141" s="7">
        <v>-18.299999999999997</v>
      </c>
      <c r="F141" s="7">
        <v>-1.2000000000000028</v>
      </c>
      <c r="G141" s="7">
        <v>-9.1</v>
      </c>
      <c r="H141" s="5">
        <f t="shared" si="2"/>
        <v>15.313621618497853</v>
      </c>
      <c r="J141" s="7"/>
      <c r="K141" s="7"/>
      <c r="L141" s="7"/>
      <c r="M141" s="7"/>
      <c r="N141" s="7"/>
    </row>
    <row r="142" spans="1:14" x14ac:dyDescent="0.3">
      <c r="A142" t="s">
        <v>140</v>
      </c>
      <c r="B142" s="4">
        <v>1.9901236809053611</v>
      </c>
      <c r="C142" s="7">
        <v>1.6358049999999931</v>
      </c>
      <c r="D142" s="7">
        <v>0.8</v>
      </c>
      <c r="E142" s="7">
        <v>-22.5</v>
      </c>
      <c r="F142" s="7">
        <v>-1</v>
      </c>
      <c r="G142" s="7">
        <v>-8.1</v>
      </c>
      <c r="H142" s="5">
        <f t="shared" si="2"/>
        <v>18.75158271070902</v>
      </c>
      <c r="J142" s="7"/>
      <c r="K142" s="7"/>
      <c r="L142" s="7"/>
      <c r="M142" s="7"/>
      <c r="N142" s="7"/>
    </row>
    <row r="143" spans="1:14" x14ac:dyDescent="0.3">
      <c r="A143" t="s">
        <v>141</v>
      </c>
      <c r="B143" s="4">
        <v>1.977301944896475</v>
      </c>
      <c r="C143" s="7">
        <v>-1.7064700000000084</v>
      </c>
      <c r="D143" s="7">
        <v>5</v>
      </c>
      <c r="E143" s="7">
        <v>-9.2000000000000011</v>
      </c>
      <c r="F143" s="7">
        <v>0</v>
      </c>
      <c r="G143" s="7">
        <v>-7</v>
      </c>
      <c r="H143" s="5">
        <f t="shared" si="2"/>
        <v>2.4080062892943337</v>
      </c>
      <c r="J143" s="7"/>
      <c r="K143" s="7"/>
      <c r="L143" s="7"/>
      <c r="M143" s="7"/>
      <c r="N143" s="7"/>
    </row>
    <row r="144" spans="1:14" x14ac:dyDescent="0.3">
      <c r="A144" t="s">
        <v>142</v>
      </c>
      <c r="B144" s="4">
        <v>1.9703116836642922</v>
      </c>
      <c r="C144" s="7">
        <v>-2.441070000000007</v>
      </c>
      <c r="D144" s="7">
        <v>3.4</v>
      </c>
      <c r="E144" s="7">
        <v>-14.299999999999999</v>
      </c>
      <c r="F144" s="7">
        <v>-0.50000000000000178</v>
      </c>
      <c r="G144" s="7">
        <v>-9</v>
      </c>
      <c r="H144" s="5">
        <f t="shared" si="2"/>
        <v>4.3504742955668307</v>
      </c>
      <c r="J144" s="7"/>
      <c r="K144" s="7"/>
      <c r="L144" s="7"/>
      <c r="M144" s="7"/>
      <c r="N144" s="7"/>
    </row>
    <row r="145" spans="1:14" x14ac:dyDescent="0.3">
      <c r="A145" t="s">
        <v>143</v>
      </c>
      <c r="B145" s="4">
        <v>1.9686696698296196</v>
      </c>
      <c r="C145" s="7">
        <v>-2.0228349999999917</v>
      </c>
      <c r="D145" s="7">
        <v>5</v>
      </c>
      <c r="E145" s="7">
        <v>-9.7999999999999989</v>
      </c>
      <c r="F145" s="7">
        <v>-7.0000000000000018</v>
      </c>
      <c r="G145" s="7">
        <v>-5.9</v>
      </c>
      <c r="H145" s="5">
        <f t="shared" si="2"/>
        <v>7.6731477378224691</v>
      </c>
      <c r="J145" s="7"/>
      <c r="K145" s="7"/>
      <c r="L145" s="7"/>
      <c r="M145" s="7"/>
      <c r="N145" s="7"/>
    </row>
    <row r="146" spans="1:14" x14ac:dyDescent="0.3">
      <c r="A146" t="s">
        <v>144</v>
      </c>
      <c r="B146" s="4">
        <v>1.8947900621960105</v>
      </c>
      <c r="C146" s="7">
        <v>-0.63561500000000526</v>
      </c>
      <c r="D146" s="7">
        <v>5.5</v>
      </c>
      <c r="E146" s="7">
        <v>-14.2</v>
      </c>
      <c r="F146" s="7">
        <v>-0.30000000000000071</v>
      </c>
      <c r="G146" s="7">
        <v>-8.8000000000000007</v>
      </c>
      <c r="H146" s="5">
        <f t="shared" si="2"/>
        <v>4.4889138170616825</v>
      </c>
      <c r="J146" s="7"/>
      <c r="K146" s="7"/>
      <c r="L146" s="7"/>
      <c r="M146" s="7"/>
      <c r="N146" s="7"/>
    </row>
    <row r="147" spans="1:14" x14ac:dyDescent="0.3">
      <c r="A147" t="s">
        <v>145</v>
      </c>
      <c r="B147" s="4">
        <v>1.8830804407045636</v>
      </c>
      <c r="C147" s="7">
        <v>-2.0168150000000025</v>
      </c>
      <c r="D147" s="7">
        <v>4.5999999999999996</v>
      </c>
      <c r="E147" s="7">
        <v>-15.6</v>
      </c>
      <c r="F147" s="7">
        <v>-1.5999999999999996</v>
      </c>
      <c r="G147" s="7">
        <v>-10</v>
      </c>
      <c r="H147" s="5">
        <f t="shared" si="2"/>
        <v>7.0329425658283</v>
      </c>
      <c r="J147" s="7"/>
      <c r="K147" s="7"/>
      <c r="L147" s="7"/>
      <c r="M147" s="7"/>
      <c r="N147" s="7"/>
    </row>
    <row r="148" spans="1:14" x14ac:dyDescent="0.3">
      <c r="A148" t="s">
        <v>146</v>
      </c>
      <c r="B148" s="4">
        <v>1.8560491086307167</v>
      </c>
      <c r="C148" s="7">
        <v>-0.63561500000000526</v>
      </c>
      <c r="D148" s="7">
        <v>5.6</v>
      </c>
      <c r="E148" s="7">
        <v>-14.1</v>
      </c>
      <c r="F148" s="7">
        <v>-0.30000000000000071</v>
      </c>
      <c r="G148" s="7">
        <v>-8.8000000000000007</v>
      </c>
      <c r="H148" s="5">
        <f t="shared" si="2"/>
        <v>4.3770088958313753</v>
      </c>
      <c r="J148" s="7"/>
      <c r="K148" s="7"/>
      <c r="L148" s="7"/>
      <c r="M148" s="7"/>
      <c r="N148" s="7"/>
    </row>
    <row r="149" spans="1:14" x14ac:dyDescent="0.3">
      <c r="A149" t="s">
        <v>147</v>
      </c>
      <c r="B149" s="4">
        <v>1.8403884492640026</v>
      </c>
      <c r="C149" s="7">
        <v>-0.63561500000000526</v>
      </c>
      <c r="D149" s="7">
        <v>5.3</v>
      </c>
      <c r="E149" s="7">
        <v>-17.099999999999998</v>
      </c>
      <c r="F149" s="7">
        <v>-0.50000000000000355</v>
      </c>
      <c r="G149" s="7">
        <v>-9.1</v>
      </c>
      <c r="H149" s="5">
        <f t="shared" si="2"/>
        <v>5.1801046708751848</v>
      </c>
      <c r="J149" s="7"/>
      <c r="K149" s="7"/>
      <c r="L149" s="7"/>
      <c r="M149" s="7"/>
      <c r="N149" s="7"/>
    </row>
    <row r="150" spans="1:14" x14ac:dyDescent="0.3">
      <c r="A150" t="s">
        <v>148</v>
      </c>
      <c r="B150" s="4">
        <v>1.7807391199655063</v>
      </c>
      <c r="C150" s="7">
        <v>-2.0168150000000025</v>
      </c>
      <c r="D150" s="7">
        <v>5</v>
      </c>
      <c r="E150" s="7">
        <v>-20.5</v>
      </c>
      <c r="F150" s="7">
        <v>0</v>
      </c>
      <c r="G150" s="7">
        <v>-5.9</v>
      </c>
      <c r="H150" s="5">
        <f t="shared" si="2"/>
        <v>1.7995328249560232</v>
      </c>
      <c r="J150" s="7"/>
      <c r="K150" s="7"/>
      <c r="L150" s="7"/>
      <c r="M150" s="7"/>
      <c r="N150" s="7"/>
    </row>
    <row r="151" spans="1:14" x14ac:dyDescent="0.3">
      <c r="A151" t="s">
        <v>149</v>
      </c>
      <c r="B151" s="4">
        <v>1.7546734503165249</v>
      </c>
      <c r="C151" s="7">
        <v>1.6358049999999931</v>
      </c>
      <c r="D151" s="7">
        <v>5.3</v>
      </c>
      <c r="E151" s="7">
        <v>-19.5</v>
      </c>
      <c r="F151" s="7">
        <v>-1</v>
      </c>
      <c r="G151" s="7">
        <v>-6.8000000000000007</v>
      </c>
      <c r="H151" s="5">
        <f t="shared" si="2"/>
        <v>5.6193026475322343</v>
      </c>
      <c r="J151" s="7"/>
      <c r="K151" s="7"/>
      <c r="L151" s="7"/>
      <c r="M151" s="7"/>
      <c r="N151" s="7"/>
    </row>
    <row r="152" spans="1:14" x14ac:dyDescent="0.3">
      <c r="A152" t="s">
        <v>150</v>
      </c>
      <c r="B152" s="4">
        <v>1.751460618479191</v>
      </c>
      <c r="C152" s="7">
        <v>-2.0228349999999917</v>
      </c>
      <c r="D152" s="7">
        <v>3.4</v>
      </c>
      <c r="E152" s="7">
        <v>-4.5999999999999996</v>
      </c>
      <c r="F152" s="7">
        <v>-7</v>
      </c>
      <c r="G152" s="7">
        <v>-5.9</v>
      </c>
      <c r="H152" s="5">
        <f t="shared" si="2"/>
        <v>12.751428703067759</v>
      </c>
      <c r="J152" s="7"/>
      <c r="K152" s="7"/>
      <c r="L152" s="7"/>
      <c r="M152" s="7"/>
      <c r="N152" s="7"/>
    </row>
    <row r="153" spans="1:14" x14ac:dyDescent="0.3">
      <c r="A153" t="s">
        <v>151</v>
      </c>
      <c r="B153" s="4">
        <v>1.7405129663416277</v>
      </c>
      <c r="C153" s="7">
        <v>-1.7064700000000084</v>
      </c>
      <c r="D153" s="7">
        <v>3.4</v>
      </c>
      <c r="E153" s="7">
        <v>-6</v>
      </c>
      <c r="F153" s="7">
        <v>0</v>
      </c>
      <c r="G153" s="7">
        <v>-7</v>
      </c>
      <c r="H153" s="5">
        <f t="shared" si="2"/>
        <v>2.6289124658712959</v>
      </c>
      <c r="J153" s="7"/>
      <c r="K153" s="7"/>
      <c r="L153" s="7"/>
      <c r="M153" s="7"/>
      <c r="N153" s="7"/>
    </row>
    <row r="154" spans="1:14" x14ac:dyDescent="0.3">
      <c r="A154" t="s">
        <v>152</v>
      </c>
      <c r="B154" s="4">
        <v>1.734798475737072</v>
      </c>
      <c r="C154" s="7">
        <v>1.6358049999999931</v>
      </c>
      <c r="D154" s="7">
        <v>5</v>
      </c>
      <c r="E154" s="7">
        <v>-18.8</v>
      </c>
      <c r="F154" s="7">
        <v>-1.1999999999999993</v>
      </c>
      <c r="G154" s="7">
        <v>-7</v>
      </c>
      <c r="H154" s="5">
        <f t="shared" si="2"/>
        <v>6.5741260619773154</v>
      </c>
      <c r="J154" s="7"/>
      <c r="K154" s="7"/>
      <c r="L154" s="7"/>
      <c r="M154" s="7"/>
      <c r="N154" s="7"/>
    </row>
    <row r="155" spans="1:14" x14ac:dyDescent="0.3">
      <c r="A155" t="s">
        <v>153</v>
      </c>
      <c r="B155" s="4">
        <v>1.732686528435309</v>
      </c>
      <c r="C155" s="7">
        <v>-2.0168150000000025</v>
      </c>
      <c r="D155" s="7">
        <v>5</v>
      </c>
      <c r="E155" s="7">
        <v>-21.5</v>
      </c>
      <c r="F155" s="7">
        <v>0</v>
      </c>
      <c r="G155" s="7">
        <v>-9</v>
      </c>
      <c r="H155" s="5">
        <f t="shared" si="2"/>
        <v>3.5939617494504925</v>
      </c>
      <c r="J155" s="7"/>
      <c r="K155" s="7"/>
      <c r="L155" s="7"/>
      <c r="M155" s="7"/>
      <c r="N155" s="7"/>
    </row>
    <row r="156" spans="1:14" x14ac:dyDescent="0.3">
      <c r="A156" t="s">
        <v>154</v>
      </c>
      <c r="B156" s="4">
        <v>1.7302401487879389</v>
      </c>
      <c r="C156" s="7">
        <v>-2.441070000000007</v>
      </c>
      <c r="D156" s="7">
        <v>3.4</v>
      </c>
      <c r="E156" s="7">
        <v>-16.100000000000009</v>
      </c>
      <c r="F156" s="7">
        <v>-0.29999999999999005</v>
      </c>
      <c r="G156" s="7">
        <v>-8.1</v>
      </c>
      <c r="H156" s="5">
        <f t="shared" si="2"/>
        <v>3.1505259049615342</v>
      </c>
      <c r="J156" s="7"/>
      <c r="K156" s="7"/>
      <c r="L156" s="7"/>
      <c r="M156" s="7"/>
      <c r="N156" s="7"/>
    </row>
    <row r="157" spans="1:14" x14ac:dyDescent="0.3">
      <c r="A157" t="s">
        <v>155</v>
      </c>
      <c r="B157" s="4">
        <v>1.7240306848529341</v>
      </c>
      <c r="C157" s="7">
        <v>-3.7230100000000093</v>
      </c>
      <c r="D157" s="7">
        <v>3.2</v>
      </c>
      <c r="E157" s="7">
        <v>-18.599999999999998</v>
      </c>
      <c r="F157" s="7">
        <v>0</v>
      </c>
      <c r="G157" s="7">
        <v>-9.1</v>
      </c>
      <c r="H157" s="5">
        <f t="shared" si="2"/>
        <v>2.7064088191389315</v>
      </c>
      <c r="J157" s="7"/>
      <c r="K157" s="7"/>
      <c r="L157" s="7"/>
      <c r="M157" s="7"/>
      <c r="N157" s="7"/>
    </row>
    <row r="158" spans="1:14" x14ac:dyDescent="0.3">
      <c r="A158" t="s">
        <v>156</v>
      </c>
      <c r="B158" s="4">
        <v>1.7157896135718496</v>
      </c>
      <c r="C158" s="7">
        <v>1.6358049999999931</v>
      </c>
      <c r="D158" s="7">
        <v>5</v>
      </c>
      <c r="E158" s="7">
        <v>-21.5</v>
      </c>
      <c r="F158" s="7">
        <v>-1.1999999999999993</v>
      </c>
      <c r="G158" s="7">
        <v>-9</v>
      </c>
      <c r="H158" s="5">
        <f t="shared" si="2"/>
        <v>8.545144741829592</v>
      </c>
      <c r="J158" s="7"/>
      <c r="K158" s="7"/>
      <c r="L158" s="7"/>
      <c r="M158" s="7"/>
      <c r="N158" s="7"/>
    </row>
    <row r="159" spans="1:14" x14ac:dyDescent="0.3">
      <c r="A159" t="s">
        <v>157</v>
      </c>
      <c r="B159" s="4">
        <v>1.6982112846581519</v>
      </c>
      <c r="C159" s="7">
        <v>-2.0228349999999917</v>
      </c>
      <c r="D159" s="7">
        <v>5</v>
      </c>
      <c r="E159" s="7">
        <v>-2.2000000000000002</v>
      </c>
      <c r="F159" s="7">
        <v>-6.9999999999999991</v>
      </c>
      <c r="G159" s="7">
        <v>-5.9</v>
      </c>
      <c r="H159" s="5">
        <f t="shared" si="2"/>
        <v>7.6731477378224655</v>
      </c>
      <c r="J159" s="7"/>
      <c r="K159" s="7"/>
      <c r="L159" s="7"/>
      <c r="M159" s="7"/>
      <c r="N159" s="7"/>
    </row>
    <row r="160" spans="1:14" x14ac:dyDescent="0.3">
      <c r="A160" t="s">
        <v>158</v>
      </c>
      <c r="B160" s="4">
        <v>1.6961653399961321</v>
      </c>
      <c r="C160" s="7">
        <v>-3.7230100000000093</v>
      </c>
      <c r="D160" s="7">
        <v>3.4</v>
      </c>
      <c r="E160" s="7">
        <v>-14.799999999999999</v>
      </c>
      <c r="F160" s="7">
        <v>0</v>
      </c>
      <c r="G160" s="7">
        <v>-9.1</v>
      </c>
      <c r="H160" s="5">
        <f t="shared" si="2"/>
        <v>2.6872083239916531</v>
      </c>
      <c r="J160" s="7"/>
      <c r="K160" s="7"/>
      <c r="L160" s="7"/>
      <c r="M160" s="7"/>
      <c r="N160" s="7"/>
    </row>
    <row r="161" spans="1:14" x14ac:dyDescent="0.3">
      <c r="A161" t="s">
        <v>159</v>
      </c>
      <c r="B161" s="4">
        <v>1.6897352258367864</v>
      </c>
      <c r="C161" s="7">
        <v>1.6358049999999931</v>
      </c>
      <c r="D161" s="7">
        <v>5</v>
      </c>
      <c r="E161" s="7">
        <v>-16.800000000000004</v>
      </c>
      <c r="F161" s="7">
        <v>-1.1999999999999957</v>
      </c>
      <c r="G161" s="7">
        <v>-7</v>
      </c>
      <c r="H161" s="5">
        <f t="shared" si="2"/>
        <v>6.574126061977311</v>
      </c>
      <c r="J161" s="7"/>
      <c r="K161" s="7"/>
      <c r="L161" s="7"/>
      <c r="M161" s="7"/>
      <c r="N161" s="7"/>
    </row>
    <row r="162" spans="1:14" x14ac:dyDescent="0.3">
      <c r="A162" t="s">
        <v>160</v>
      </c>
      <c r="B162" s="4">
        <v>1.6486892986286048</v>
      </c>
      <c r="C162" s="7">
        <v>-3.4040350000000035</v>
      </c>
      <c r="D162" s="7">
        <v>5</v>
      </c>
      <c r="E162" s="7">
        <v>-11.8</v>
      </c>
      <c r="F162" s="7">
        <v>-7</v>
      </c>
      <c r="G162" s="7">
        <v>-5.9</v>
      </c>
      <c r="H162" s="5">
        <f t="shared" si="2"/>
        <v>6.196159068032018</v>
      </c>
      <c r="J162" s="7"/>
      <c r="K162" s="7"/>
      <c r="L162" s="7"/>
      <c r="M162" s="7"/>
      <c r="N162" s="7"/>
    </row>
    <row r="163" spans="1:14" x14ac:dyDescent="0.3">
      <c r="A163" t="s">
        <v>161</v>
      </c>
      <c r="B163" s="4">
        <v>1.638959685062551</v>
      </c>
      <c r="C163" s="7">
        <v>-3.4040350000000035</v>
      </c>
      <c r="D163" s="7">
        <v>5</v>
      </c>
      <c r="E163" s="7">
        <v>-9.7999999999999989</v>
      </c>
      <c r="F163" s="7">
        <v>-7.0000000000000018</v>
      </c>
      <c r="G163" s="7">
        <v>-5.9</v>
      </c>
      <c r="H163" s="5">
        <f t="shared" si="2"/>
        <v>6.1961590680320198</v>
      </c>
      <c r="J163" s="7"/>
      <c r="K163" s="7"/>
      <c r="L163" s="7"/>
      <c r="M163" s="7"/>
      <c r="N163" s="7"/>
    </row>
    <row r="164" spans="1:14" x14ac:dyDescent="0.3">
      <c r="A164" t="s">
        <v>162</v>
      </c>
      <c r="B164" s="4">
        <v>1.5949750684501753</v>
      </c>
      <c r="C164" s="7">
        <v>-2.9070350000000036</v>
      </c>
      <c r="D164" s="7">
        <v>4.5999999999999996</v>
      </c>
      <c r="E164" s="7">
        <v>-11.200000000000001</v>
      </c>
      <c r="F164" s="7">
        <v>-2.3999999999999986</v>
      </c>
      <c r="G164" s="7">
        <v>-10</v>
      </c>
      <c r="H164" s="5">
        <f t="shared" si="2"/>
        <v>6.9048841541022652</v>
      </c>
      <c r="J164" s="7"/>
      <c r="K164" s="7"/>
      <c r="L164" s="7"/>
      <c r="M164" s="7"/>
      <c r="N164" s="7"/>
    </row>
    <row r="165" spans="1:14" x14ac:dyDescent="0.3">
      <c r="A165" t="s">
        <v>163</v>
      </c>
      <c r="B165" s="4">
        <v>1.5755959691867172</v>
      </c>
      <c r="C165" s="7">
        <v>-0.63561500000000526</v>
      </c>
      <c r="D165" s="7">
        <v>4.5</v>
      </c>
      <c r="E165" s="7">
        <v>-19.299999999999997</v>
      </c>
      <c r="F165" s="7">
        <v>-0.50000000000000355</v>
      </c>
      <c r="G165" s="7">
        <v>-9.1</v>
      </c>
      <c r="H165" s="5">
        <f t="shared" si="2"/>
        <v>6.3043474580460055</v>
      </c>
      <c r="J165" s="7"/>
      <c r="K165" s="7"/>
      <c r="L165" s="7"/>
      <c r="M165" s="7"/>
      <c r="N165" s="7"/>
    </row>
    <row r="166" spans="1:14" x14ac:dyDescent="0.3">
      <c r="A166" t="s">
        <v>164</v>
      </c>
      <c r="B166" s="4">
        <v>1.5522803335990469</v>
      </c>
      <c r="C166" s="7">
        <v>-2.0168150000000025</v>
      </c>
      <c r="D166" s="7">
        <v>3.4</v>
      </c>
      <c r="E166" s="7">
        <v>-16.100000000000009</v>
      </c>
      <c r="F166" s="7">
        <v>0</v>
      </c>
      <c r="G166" s="7">
        <v>-8.1</v>
      </c>
      <c r="H166" s="5">
        <f t="shared" si="2"/>
        <v>3.2634334768984159</v>
      </c>
      <c r="J166" s="7"/>
      <c r="K166" s="7"/>
      <c r="L166" s="7"/>
      <c r="M166" s="7"/>
      <c r="N166" s="7"/>
    </row>
    <row r="167" spans="1:14" x14ac:dyDescent="0.3">
      <c r="A167" t="s">
        <v>165</v>
      </c>
      <c r="B167" s="4">
        <v>1.4979562715171491</v>
      </c>
      <c r="C167" s="7">
        <v>-2.0168150000000025</v>
      </c>
      <c r="D167" s="7">
        <v>0.8</v>
      </c>
      <c r="E167" s="7">
        <v>-11.6</v>
      </c>
      <c r="F167" s="7">
        <v>0</v>
      </c>
      <c r="G167" s="7">
        <v>-9</v>
      </c>
      <c r="H167" s="5">
        <f t="shared" si="2"/>
        <v>4.7141671011940964</v>
      </c>
      <c r="J167" s="7"/>
      <c r="K167" s="7"/>
      <c r="L167" s="7"/>
      <c r="M167" s="7"/>
      <c r="N167" s="7"/>
    </row>
    <row r="168" spans="1:14" x14ac:dyDescent="0.3">
      <c r="A168" t="s">
        <v>166</v>
      </c>
      <c r="B168" s="4">
        <v>1.4689500846291945</v>
      </c>
      <c r="C168" s="7">
        <v>-2.0168150000000025</v>
      </c>
      <c r="D168" s="7">
        <v>3.4</v>
      </c>
      <c r="E168" s="7">
        <v>-14.299999999999999</v>
      </c>
      <c r="F168" s="7">
        <v>0</v>
      </c>
      <c r="G168" s="7">
        <v>-9</v>
      </c>
      <c r="H168" s="5">
        <f t="shared" si="2"/>
        <v>4.2522381499656303</v>
      </c>
      <c r="J168" s="7"/>
      <c r="K168" s="7"/>
      <c r="L168" s="7"/>
      <c r="M168" s="7"/>
      <c r="N168" s="7"/>
    </row>
    <row r="169" spans="1:14" x14ac:dyDescent="0.3">
      <c r="A169" t="s">
        <v>167</v>
      </c>
      <c r="B169" s="4">
        <v>1.4572345906036535</v>
      </c>
      <c r="C169" s="7">
        <v>1.6358049999999931</v>
      </c>
      <c r="D169" s="7">
        <v>5</v>
      </c>
      <c r="E169" s="7">
        <v>-9.2000000000000011</v>
      </c>
      <c r="F169" s="7">
        <v>-1.1999999999999993</v>
      </c>
      <c r="G169" s="7">
        <v>-7</v>
      </c>
      <c r="H169" s="5">
        <f t="shared" si="2"/>
        <v>6.5741260619773154</v>
      </c>
      <c r="J169" s="7"/>
      <c r="K169" s="7"/>
      <c r="L169" s="7"/>
      <c r="M169" s="7"/>
      <c r="N169" s="7"/>
    </row>
    <row r="170" spans="1:14" x14ac:dyDescent="0.3">
      <c r="A170" t="s">
        <v>168</v>
      </c>
      <c r="B170" s="4">
        <v>1.4107024752693347</v>
      </c>
      <c r="C170" s="7">
        <v>-2.9258350000000064</v>
      </c>
      <c r="D170" s="7">
        <v>4.5999999999999996</v>
      </c>
      <c r="E170" s="7">
        <v>-15.6</v>
      </c>
      <c r="F170" s="7">
        <v>-1.5999999999999996</v>
      </c>
      <c r="G170" s="7">
        <v>-10</v>
      </c>
      <c r="H170" s="5">
        <f t="shared" si="2"/>
        <v>5.7709054806093425</v>
      </c>
      <c r="J170" s="7"/>
      <c r="K170" s="7"/>
      <c r="L170" s="7"/>
      <c r="M170" s="7"/>
      <c r="N170" s="7"/>
    </row>
    <row r="171" spans="1:14" x14ac:dyDescent="0.3">
      <c r="A171" t="s">
        <v>169</v>
      </c>
      <c r="B171" s="4">
        <v>1.390968224921366</v>
      </c>
      <c r="C171" s="7">
        <v>-3.7230100000000093</v>
      </c>
      <c r="D171" s="7">
        <v>4.5</v>
      </c>
      <c r="E171" s="7">
        <v>-15.2</v>
      </c>
      <c r="F171" s="7">
        <v>0</v>
      </c>
      <c r="G171" s="7">
        <v>-8.8000000000000007</v>
      </c>
      <c r="H171" s="5">
        <f t="shared" si="2"/>
        <v>2.3685380186692888</v>
      </c>
      <c r="J171" s="7"/>
      <c r="K171" s="7"/>
      <c r="L171" s="7"/>
      <c r="M171" s="7"/>
      <c r="N171" s="7"/>
    </row>
    <row r="172" spans="1:14" x14ac:dyDescent="0.3">
      <c r="A172" t="s">
        <v>170</v>
      </c>
      <c r="B172" s="4">
        <v>1.3351083791195295</v>
      </c>
      <c r="C172" s="7">
        <v>-3.3021449999999968</v>
      </c>
      <c r="D172" s="7">
        <v>4.5999999999999996</v>
      </c>
      <c r="E172" s="7">
        <v>-8.9</v>
      </c>
      <c r="F172" s="7">
        <v>-2.9000000000000004</v>
      </c>
      <c r="G172" s="7">
        <v>-8</v>
      </c>
      <c r="H172" s="5">
        <f t="shared" si="2"/>
        <v>4.4366164429165336</v>
      </c>
      <c r="J172" s="7"/>
      <c r="K172" s="7"/>
      <c r="L172" s="7"/>
      <c r="M172" s="7"/>
      <c r="N172" s="7"/>
    </row>
    <row r="173" spans="1:14" x14ac:dyDescent="0.3">
      <c r="A173" t="s">
        <v>171</v>
      </c>
      <c r="B173" s="4">
        <v>1.3075492490054699</v>
      </c>
      <c r="C173" s="7">
        <v>-1.2493300000000018</v>
      </c>
      <c r="D173" s="7">
        <v>4.5999999999999996</v>
      </c>
      <c r="E173" s="7">
        <v>-7.9</v>
      </c>
      <c r="F173" s="7">
        <v>-7.2999999999999989</v>
      </c>
      <c r="G173" s="7">
        <v>-9.1999999999999993</v>
      </c>
      <c r="H173" s="5">
        <f t="shared" si="2"/>
        <v>12.658968478262999</v>
      </c>
      <c r="J173" s="7"/>
      <c r="K173" s="7"/>
      <c r="L173" s="7"/>
      <c r="M173" s="7"/>
      <c r="N173" s="7"/>
    </row>
    <row r="174" spans="1:14" x14ac:dyDescent="0.3">
      <c r="A174" t="s">
        <v>172</v>
      </c>
      <c r="B174" s="4">
        <v>1.3002174449358832</v>
      </c>
      <c r="C174" s="7">
        <v>-3.7230100000000093</v>
      </c>
      <c r="D174" s="7">
        <v>3.4</v>
      </c>
      <c r="E174" s="7">
        <v>-14.299999999999999</v>
      </c>
      <c r="F174" s="7">
        <v>0</v>
      </c>
      <c r="G174" s="7">
        <v>-10</v>
      </c>
      <c r="H174" s="5">
        <f t="shared" si="2"/>
        <v>3.4502621194769865</v>
      </c>
      <c r="J174" s="7"/>
      <c r="K174" s="7"/>
      <c r="L174" s="7"/>
      <c r="M174" s="7"/>
      <c r="N174" s="7"/>
    </row>
    <row r="175" spans="1:14" x14ac:dyDescent="0.3">
      <c r="A175" t="s">
        <v>173</v>
      </c>
      <c r="B175" s="4">
        <v>1.2960503986497927</v>
      </c>
      <c r="C175" s="7">
        <v>-2.9070350000000036</v>
      </c>
      <c r="D175" s="7">
        <v>4.5</v>
      </c>
      <c r="E175" s="7">
        <v>-15.7</v>
      </c>
      <c r="F175" s="7">
        <v>-2.4000000000000021</v>
      </c>
      <c r="G175" s="7">
        <v>-10</v>
      </c>
      <c r="H175" s="5">
        <f t="shared" si="2"/>
        <v>7.084000338903329</v>
      </c>
      <c r="J175" s="7"/>
      <c r="K175" s="7"/>
      <c r="L175" s="7"/>
      <c r="M175" s="7"/>
      <c r="N175" s="7"/>
    </row>
    <row r="176" spans="1:14" x14ac:dyDescent="0.3">
      <c r="A176" t="s">
        <v>174</v>
      </c>
      <c r="B176" s="4">
        <v>1.2911523590108116</v>
      </c>
      <c r="C176" s="7">
        <v>-0.63561500000000526</v>
      </c>
      <c r="D176" s="7">
        <v>3.4</v>
      </c>
      <c r="E176" s="7">
        <v>-3.6</v>
      </c>
      <c r="F176" s="7">
        <v>-2.4</v>
      </c>
      <c r="G176" s="7">
        <v>-7</v>
      </c>
      <c r="H176" s="5">
        <f t="shared" si="2"/>
        <v>7.2834245060174858</v>
      </c>
      <c r="J176" s="7"/>
      <c r="K176" s="7"/>
      <c r="L176" s="7"/>
      <c r="M176" s="7"/>
      <c r="N176" s="7"/>
    </row>
    <row r="177" spans="1:14" x14ac:dyDescent="0.3">
      <c r="A177" t="s">
        <v>175</v>
      </c>
      <c r="B177" s="4">
        <v>1.2587695533719263</v>
      </c>
      <c r="C177" s="7">
        <v>-0.63561500000000526</v>
      </c>
      <c r="D177" s="7">
        <v>4.5999999999999996</v>
      </c>
      <c r="E177" s="7">
        <v>-20.5</v>
      </c>
      <c r="F177" s="7">
        <v>-0.5</v>
      </c>
      <c r="G177" s="7">
        <v>-7.5</v>
      </c>
      <c r="H177" s="5">
        <f t="shared" si="2"/>
        <v>4.1799807052995526</v>
      </c>
      <c r="J177" s="7"/>
      <c r="K177" s="7"/>
      <c r="L177" s="7"/>
      <c r="M177" s="7"/>
      <c r="N177" s="7"/>
    </row>
    <row r="178" spans="1:14" x14ac:dyDescent="0.3">
      <c r="A178" t="s">
        <v>176</v>
      </c>
      <c r="B178" s="4">
        <v>1.256727908695795</v>
      </c>
      <c r="C178" s="7">
        <v>-2.220554999999993</v>
      </c>
      <c r="D178" s="7">
        <v>5</v>
      </c>
      <c r="E178" s="7">
        <v>-20.5</v>
      </c>
      <c r="F178" s="7">
        <v>0</v>
      </c>
      <c r="G178" s="7">
        <v>-5.9</v>
      </c>
      <c r="H178" s="5">
        <f t="shared" si="2"/>
        <v>1.7346570289084584</v>
      </c>
      <c r="J178" s="7"/>
      <c r="K178" s="7"/>
      <c r="L178" s="7"/>
      <c r="M178" s="7"/>
      <c r="N178" s="7"/>
    </row>
    <row r="179" spans="1:14" x14ac:dyDescent="0.3">
      <c r="A179" t="s">
        <v>177</v>
      </c>
      <c r="B179" s="4">
        <v>1.2513819218316535</v>
      </c>
      <c r="C179" s="7">
        <v>-3.7230100000000093</v>
      </c>
      <c r="D179" s="7">
        <v>4.5</v>
      </c>
      <c r="E179" s="7">
        <v>-19.299999999999997</v>
      </c>
      <c r="F179" s="7">
        <v>0</v>
      </c>
      <c r="G179" s="7">
        <v>-9.1</v>
      </c>
      <c r="H179" s="5">
        <f t="shared" si="2"/>
        <v>2.5436255559923788</v>
      </c>
      <c r="J179" s="7"/>
      <c r="K179" s="7"/>
      <c r="L179" s="7"/>
      <c r="M179" s="7"/>
      <c r="N179" s="7"/>
    </row>
    <row r="180" spans="1:14" x14ac:dyDescent="0.3">
      <c r="A180" t="s">
        <v>178</v>
      </c>
      <c r="B180" s="4">
        <v>1.2398625406444335</v>
      </c>
      <c r="C180" s="7">
        <v>-1.7064700000000013</v>
      </c>
      <c r="D180" s="7">
        <v>4.5999999999999996</v>
      </c>
      <c r="E180" s="7">
        <v>-8.9</v>
      </c>
      <c r="F180" s="7">
        <v>-2.9000000000000004</v>
      </c>
      <c r="G180" s="7">
        <v>-8</v>
      </c>
      <c r="H180" s="5">
        <f t="shared" si="2"/>
        <v>6.4829296405932473</v>
      </c>
      <c r="J180" s="7"/>
      <c r="K180" s="7"/>
      <c r="L180" s="7"/>
      <c r="M180" s="7"/>
      <c r="N180" s="7"/>
    </row>
    <row r="181" spans="1:14" x14ac:dyDescent="0.3">
      <c r="A181" t="s">
        <v>179</v>
      </c>
      <c r="B181" s="4">
        <v>1.2331863790353088</v>
      </c>
      <c r="C181" s="7">
        <v>-3.7230100000000093</v>
      </c>
      <c r="D181" s="7">
        <v>3.4</v>
      </c>
      <c r="E181" s="7">
        <v>-21.7</v>
      </c>
      <c r="F181" s="7">
        <v>0</v>
      </c>
      <c r="G181" s="7">
        <v>-7.5</v>
      </c>
      <c r="H181" s="5">
        <f t="shared" si="2"/>
        <v>1.8495410191729293</v>
      </c>
      <c r="J181" s="7"/>
      <c r="K181" s="7"/>
      <c r="L181" s="7"/>
      <c r="M181" s="7"/>
      <c r="N181" s="7"/>
    </row>
    <row r="182" spans="1:14" x14ac:dyDescent="0.3">
      <c r="A182" t="s">
        <v>180</v>
      </c>
      <c r="B182" s="4">
        <v>1.2185805697830936</v>
      </c>
      <c r="C182" s="7">
        <v>-3.0109699999999937</v>
      </c>
      <c r="D182" s="7">
        <v>3.4</v>
      </c>
      <c r="E182" s="7">
        <v>-14.299999999999999</v>
      </c>
      <c r="F182" s="7">
        <v>-0.60000000000000142</v>
      </c>
      <c r="G182" s="7">
        <v>-9</v>
      </c>
      <c r="H182" s="5">
        <f t="shared" si="2"/>
        <v>3.7801609568186967</v>
      </c>
      <c r="J182" s="7"/>
      <c r="K182" s="7"/>
      <c r="L182" s="7"/>
      <c r="M182" s="7"/>
      <c r="N182" s="7"/>
    </row>
    <row r="183" spans="1:14" x14ac:dyDescent="0.3">
      <c r="A183" t="s">
        <v>181</v>
      </c>
      <c r="B183" s="4">
        <v>1.2102793793468489</v>
      </c>
      <c r="C183" s="7">
        <v>-3.4040350000000035</v>
      </c>
      <c r="D183" s="7">
        <v>3.4</v>
      </c>
      <c r="E183" s="7">
        <v>-4.5999999999999996</v>
      </c>
      <c r="F183" s="7">
        <v>-7</v>
      </c>
      <c r="G183" s="7">
        <v>-5.9</v>
      </c>
      <c r="H183" s="5">
        <f t="shared" si="2"/>
        <v>8.9813149036562567</v>
      </c>
      <c r="J183" s="7"/>
      <c r="K183" s="7"/>
      <c r="L183" s="7"/>
      <c r="M183" s="7"/>
      <c r="N183" s="7"/>
    </row>
    <row r="184" spans="1:14" x14ac:dyDescent="0.3">
      <c r="A184" t="s">
        <v>182</v>
      </c>
      <c r="B184" s="4">
        <v>1.1805612341396519</v>
      </c>
      <c r="C184" s="7">
        <v>-0.63561500000000526</v>
      </c>
      <c r="D184" s="7">
        <v>4.5</v>
      </c>
      <c r="E184" s="7">
        <v>-17.299999999999997</v>
      </c>
      <c r="F184" s="7">
        <v>-0.50000000000000355</v>
      </c>
      <c r="G184" s="7">
        <v>-9.1</v>
      </c>
      <c r="H184" s="5">
        <f t="shared" si="2"/>
        <v>6.3043474580460055</v>
      </c>
      <c r="J184" s="7"/>
      <c r="K184" s="7"/>
      <c r="L184" s="7"/>
      <c r="M184" s="7"/>
      <c r="N184" s="7"/>
    </row>
    <row r="185" spans="1:14" x14ac:dyDescent="0.3">
      <c r="A185" t="s">
        <v>183</v>
      </c>
      <c r="B185" s="4">
        <v>1.1795640946050538</v>
      </c>
      <c r="C185" s="7">
        <v>-3.7230100000000093</v>
      </c>
      <c r="D185" s="7">
        <v>5.5</v>
      </c>
      <c r="E185" s="7">
        <v>-14.2</v>
      </c>
      <c r="F185" s="7">
        <v>0</v>
      </c>
      <c r="G185" s="7">
        <v>-8.8000000000000007</v>
      </c>
      <c r="H185" s="5">
        <f t="shared" si="2"/>
        <v>2.2059317389689737</v>
      </c>
      <c r="J185" s="7"/>
      <c r="K185" s="7"/>
      <c r="L185" s="7"/>
      <c r="M185" s="7"/>
      <c r="N185" s="7"/>
    </row>
    <row r="186" spans="1:14" x14ac:dyDescent="0.3">
      <c r="A186" t="s">
        <v>184</v>
      </c>
      <c r="B186" s="4">
        <v>1.1718650552400349</v>
      </c>
      <c r="C186" s="7">
        <v>-2.6305299999999989</v>
      </c>
      <c r="D186" s="7">
        <v>3.4</v>
      </c>
      <c r="E186" s="7">
        <v>-9.1</v>
      </c>
      <c r="F186" s="7">
        <v>-7.2999999999999989</v>
      </c>
      <c r="G186" s="7">
        <v>-9.1999999999999993</v>
      </c>
      <c r="H186" s="5">
        <f t="shared" si="2"/>
        <v>20.768030021609444</v>
      </c>
      <c r="J186" s="7"/>
      <c r="K186" s="7"/>
      <c r="L186" s="7"/>
      <c r="M186" s="7"/>
      <c r="N186" s="7"/>
    </row>
    <row r="187" spans="1:14" x14ac:dyDescent="0.3">
      <c r="A187" t="s">
        <v>185</v>
      </c>
      <c r="B187" s="4">
        <v>1.1602857488998506</v>
      </c>
      <c r="C187" s="7">
        <v>0.56494999999999707</v>
      </c>
      <c r="D187" s="7">
        <v>5.6</v>
      </c>
      <c r="E187" s="7">
        <v>-16.299999999999997</v>
      </c>
      <c r="F187" s="7">
        <v>-2.9000000000000021</v>
      </c>
      <c r="G187" s="7">
        <v>-8</v>
      </c>
      <c r="H187" s="5">
        <f t="shared" si="2"/>
        <v>6.4529916147171598</v>
      </c>
      <c r="J187" s="7"/>
      <c r="K187" s="7"/>
      <c r="L187" s="7"/>
      <c r="M187" s="7"/>
      <c r="N187" s="7"/>
    </row>
    <row r="188" spans="1:14" x14ac:dyDescent="0.3">
      <c r="A188" t="s">
        <v>186</v>
      </c>
      <c r="B188" s="4">
        <v>1.1516407121734802</v>
      </c>
      <c r="C188" s="7">
        <v>-1.5258350000000065</v>
      </c>
      <c r="D188" s="7">
        <v>3.4</v>
      </c>
      <c r="E188" s="7">
        <v>-3.6</v>
      </c>
      <c r="F188" s="7">
        <v>-2.4</v>
      </c>
      <c r="G188" s="7">
        <v>-7</v>
      </c>
      <c r="H188" s="5">
        <f t="shared" si="2"/>
        <v>5.5741894995174208</v>
      </c>
      <c r="J188" s="7"/>
      <c r="K188" s="7"/>
      <c r="L188" s="7"/>
      <c r="M188" s="7"/>
      <c r="N188" s="7"/>
    </row>
    <row r="189" spans="1:14" x14ac:dyDescent="0.3">
      <c r="A189" t="s">
        <v>187</v>
      </c>
      <c r="B189" s="4">
        <v>1.1170503102029139</v>
      </c>
      <c r="C189" s="7">
        <v>-3.3010150000000138</v>
      </c>
      <c r="D189" s="7">
        <v>4.5</v>
      </c>
      <c r="E189" s="7">
        <v>-13.2</v>
      </c>
      <c r="F189" s="7">
        <v>-1</v>
      </c>
      <c r="G189" s="7">
        <v>-10</v>
      </c>
      <c r="H189" s="5">
        <f t="shared" si="2"/>
        <v>4.6220229273604971</v>
      </c>
      <c r="J189" s="7"/>
      <c r="K189" s="7"/>
      <c r="L189" s="7"/>
      <c r="M189" s="7"/>
      <c r="N189" s="7"/>
    </row>
    <row r="190" spans="1:14" x14ac:dyDescent="0.3">
      <c r="A190" t="s">
        <v>188</v>
      </c>
      <c r="B190" s="4">
        <v>1.1163018690774322</v>
      </c>
      <c r="C190" s="7">
        <v>-3.4040350000000035</v>
      </c>
      <c r="D190" s="7">
        <v>5</v>
      </c>
      <c r="E190" s="7">
        <v>-2.2000000000000002</v>
      </c>
      <c r="F190" s="7">
        <v>-6.9999999999999991</v>
      </c>
      <c r="G190" s="7">
        <v>-5.9</v>
      </c>
      <c r="H190" s="5">
        <f t="shared" si="2"/>
        <v>6.196159068032018</v>
      </c>
      <c r="J190" s="7"/>
      <c r="K190" s="7"/>
      <c r="L190" s="7"/>
      <c r="M190" s="7"/>
      <c r="N190" s="7"/>
    </row>
    <row r="191" spans="1:14" x14ac:dyDescent="0.3">
      <c r="A191" t="s">
        <v>189</v>
      </c>
      <c r="B191" s="4">
        <v>1.0950173931383276</v>
      </c>
      <c r="C191" s="7">
        <v>-0.63561500000000526</v>
      </c>
      <c r="D191" s="7">
        <v>4.5999999999999996</v>
      </c>
      <c r="E191" s="7">
        <v>-15.199999999999998</v>
      </c>
      <c r="F191" s="7">
        <v>-0.50000000000000178</v>
      </c>
      <c r="G191" s="7">
        <v>-7.5</v>
      </c>
      <c r="H191" s="5">
        <f t="shared" si="2"/>
        <v>4.1799807052995543</v>
      </c>
      <c r="J191" s="7"/>
      <c r="K191" s="7"/>
      <c r="L191" s="7"/>
      <c r="M191" s="7"/>
      <c r="N191" s="7"/>
    </row>
    <row r="192" spans="1:14" x14ac:dyDescent="0.3">
      <c r="A192" t="s">
        <v>190</v>
      </c>
      <c r="B192" s="4">
        <v>1.0949799299592791</v>
      </c>
      <c r="C192" s="7">
        <v>-3.3010150000000138</v>
      </c>
      <c r="D192" s="7">
        <v>4.5</v>
      </c>
      <c r="E192" s="7">
        <v>-13.7</v>
      </c>
      <c r="F192" s="7">
        <v>-2.2000000000000011</v>
      </c>
      <c r="G192" s="7">
        <v>-9.1</v>
      </c>
      <c r="H192" s="5">
        <f t="shared" si="2"/>
        <v>4.990127575941635</v>
      </c>
      <c r="J192" s="7"/>
      <c r="K192" s="7"/>
      <c r="L192" s="7"/>
      <c r="M192" s="7"/>
      <c r="N192" s="7"/>
    </row>
    <row r="193" spans="1:14" x14ac:dyDescent="0.3">
      <c r="A193" t="s">
        <v>191</v>
      </c>
      <c r="B193" s="4">
        <v>1.0902416799620789</v>
      </c>
      <c r="C193" s="7">
        <v>1.6358049999999931</v>
      </c>
      <c r="D193" s="7">
        <v>3.8</v>
      </c>
      <c r="E193" s="7">
        <v>-21.299999999999997</v>
      </c>
      <c r="F193" s="7">
        <v>-1.2000000000000028</v>
      </c>
      <c r="G193" s="7">
        <v>-7.5</v>
      </c>
      <c r="H193" s="5">
        <f t="shared" si="2"/>
        <v>10.175107883419452</v>
      </c>
      <c r="J193" s="7"/>
      <c r="K193" s="7"/>
      <c r="L193" s="7"/>
      <c r="M193" s="7"/>
      <c r="N193" s="7"/>
    </row>
    <row r="194" spans="1:14" x14ac:dyDescent="0.3">
      <c r="A194" t="s">
        <v>192</v>
      </c>
      <c r="B194" s="4">
        <v>1.0853042255351326</v>
      </c>
      <c r="C194" s="7">
        <v>0.56494999999999707</v>
      </c>
      <c r="D194" s="7">
        <v>5.5</v>
      </c>
      <c r="E194" s="7">
        <v>-16.399999999999999</v>
      </c>
      <c r="F194" s="7">
        <v>-2.9000000000000021</v>
      </c>
      <c r="G194" s="7">
        <v>-8</v>
      </c>
      <c r="H194" s="5">
        <f t="shared" si="2"/>
        <v>6.7236462046944627</v>
      </c>
      <c r="J194" s="7"/>
      <c r="K194" s="7"/>
      <c r="L194" s="7"/>
      <c r="M194" s="7"/>
      <c r="N194" s="7"/>
    </row>
    <row r="195" spans="1:14" x14ac:dyDescent="0.3">
      <c r="A195" t="s">
        <v>193</v>
      </c>
      <c r="B195" s="4">
        <v>1.0525640005668604</v>
      </c>
      <c r="C195" s="7">
        <v>-3.1192499999999925</v>
      </c>
      <c r="D195" s="7">
        <v>4.5</v>
      </c>
      <c r="E195" s="7">
        <v>-19.299999999999997</v>
      </c>
      <c r="F195" s="7">
        <v>0</v>
      </c>
      <c r="G195" s="7">
        <v>-9.1</v>
      </c>
      <c r="H195" s="5">
        <f t="shared" ref="H195:H258" si="3">1+1/(0.005*EXP(0.6*D195)+6*EXP(0.45*(F195+G195-C195))*(1+0.005*EXP(0.6*D195)))</f>
        <v>2.9554129924879762</v>
      </c>
      <c r="J195" s="7"/>
      <c r="K195" s="7"/>
      <c r="L195" s="7"/>
      <c r="M195" s="7"/>
      <c r="N195" s="7"/>
    </row>
    <row r="196" spans="1:14" x14ac:dyDescent="0.3">
      <c r="A196" t="s">
        <v>194</v>
      </c>
      <c r="B196" s="4">
        <v>1.0508215695919885</v>
      </c>
      <c r="C196" s="7">
        <v>-3.1192499999999925</v>
      </c>
      <c r="D196" s="7">
        <v>5.5</v>
      </c>
      <c r="E196" s="7">
        <v>-14.2</v>
      </c>
      <c r="F196" s="7">
        <v>0</v>
      </c>
      <c r="G196" s="7">
        <v>-8.8000000000000007</v>
      </c>
      <c r="H196" s="5">
        <f t="shared" si="3"/>
        <v>2.505565392792636</v>
      </c>
      <c r="J196" s="7"/>
      <c r="K196" s="7"/>
      <c r="L196" s="7"/>
      <c r="M196" s="7"/>
      <c r="N196" s="7"/>
    </row>
    <row r="197" spans="1:14" x14ac:dyDescent="0.3">
      <c r="A197" t="s">
        <v>195</v>
      </c>
      <c r="B197" s="4">
        <v>1.0336978549840496</v>
      </c>
      <c r="C197" s="7">
        <v>-3.3010150000000138</v>
      </c>
      <c r="D197" s="7">
        <v>5.6</v>
      </c>
      <c r="E197" s="7">
        <v>-14.1</v>
      </c>
      <c r="F197" s="7">
        <v>-1.0999999999999996</v>
      </c>
      <c r="G197" s="7">
        <v>-8.8000000000000007</v>
      </c>
      <c r="H197" s="5">
        <f t="shared" si="3"/>
        <v>3.0151697464865763</v>
      </c>
      <c r="J197" s="7"/>
      <c r="K197" s="7"/>
      <c r="L197" s="7"/>
      <c r="M197" s="7"/>
      <c r="N197" s="7"/>
    </row>
    <row r="198" spans="1:14" x14ac:dyDescent="0.3">
      <c r="A198" t="s">
        <v>196</v>
      </c>
      <c r="B198" s="4">
        <v>1.0186320113179295</v>
      </c>
      <c r="C198" s="7">
        <v>-3.7230100000000093</v>
      </c>
      <c r="D198" s="7">
        <v>4.5999999999999996</v>
      </c>
      <c r="E198" s="7">
        <v>-15.199999999999998</v>
      </c>
      <c r="F198" s="7">
        <v>0</v>
      </c>
      <c r="G198" s="7">
        <v>-7.5</v>
      </c>
      <c r="H198" s="5">
        <f t="shared" si="3"/>
        <v>1.7923234459562902</v>
      </c>
      <c r="J198" s="7"/>
      <c r="K198" s="7"/>
      <c r="L198" s="7"/>
      <c r="M198" s="7"/>
      <c r="N198" s="7"/>
    </row>
    <row r="199" spans="1:14" x14ac:dyDescent="0.3">
      <c r="A199" t="s">
        <v>197</v>
      </c>
      <c r="B199" s="4">
        <v>1.0035291917910629</v>
      </c>
      <c r="C199" s="7">
        <v>-1.7064700000000013</v>
      </c>
      <c r="D199" s="7">
        <v>5.5</v>
      </c>
      <c r="E199" s="7">
        <v>-16.399999999999999</v>
      </c>
      <c r="F199" s="7">
        <v>-2.9000000000000021</v>
      </c>
      <c r="G199" s="7">
        <v>-8</v>
      </c>
      <c r="H199" s="5">
        <f t="shared" si="3"/>
        <v>5.0921897736410617</v>
      </c>
      <c r="J199" s="7"/>
      <c r="K199" s="7"/>
      <c r="L199" s="7"/>
      <c r="M199" s="7"/>
      <c r="N199" s="7"/>
    </row>
    <row r="200" spans="1:14" x14ac:dyDescent="0.3">
      <c r="A200" t="s">
        <v>198</v>
      </c>
      <c r="B200" s="4">
        <v>0.98868561851400938</v>
      </c>
      <c r="C200" s="7">
        <v>-3.3021449999999968</v>
      </c>
      <c r="D200" s="7">
        <v>3.4</v>
      </c>
      <c r="E200" s="7">
        <v>-10.1</v>
      </c>
      <c r="F200" s="7">
        <v>-2.9000000000000004</v>
      </c>
      <c r="G200" s="7">
        <v>-8</v>
      </c>
      <c r="H200" s="5">
        <f t="shared" si="3"/>
        <v>5.1241901483932413</v>
      </c>
      <c r="J200" s="7"/>
      <c r="K200" s="7"/>
      <c r="L200" s="7"/>
      <c r="M200" s="7"/>
      <c r="N200" s="7"/>
    </row>
    <row r="201" spans="1:14" x14ac:dyDescent="0.3">
      <c r="A201" t="s">
        <v>199</v>
      </c>
      <c r="B201" s="4">
        <v>0.98592478562543195</v>
      </c>
      <c r="C201" s="7">
        <v>-3.3021449999999968</v>
      </c>
      <c r="D201" s="7">
        <v>5.5</v>
      </c>
      <c r="E201" s="7">
        <v>-16.399999999999999</v>
      </c>
      <c r="F201" s="7">
        <v>-2.9000000000000021</v>
      </c>
      <c r="G201" s="7">
        <v>-8</v>
      </c>
      <c r="H201" s="5">
        <f t="shared" si="3"/>
        <v>3.7881507964326895</v>
      </c>
      <c r="J201" s="7"/>
      <c r="K201" s="7"/>
      <c r="L201" s="7"/>
      <c r="M201" s="7"/>
      <c r="N201" s="7"/>
    </row>
    <row r="202" spans="1:14" x14ac:dyDescent="0.3">
      <c r="A202" t="s">
        <v>200</v>
      </c>
      <c r="B202" s="4">
        <v>0.97620924306438162</v>
      </c>
      <c r="C202" s="7">
        <v>-3.7230100000000093</v>
      </c>
      <c r="D202" s="7">
        <v>3.2</v>
      </c>
      <c r="E202" s="7">
        <v>-20.599999999999998</v>
      </c>
      <c r="F202" s="7">
        <v>0</v>
      </c>
      <c r="G202" s="7">
        <v>-9.1</v>
      </c>
      <c r="H202" s="5">
        <f t="shared" si="3"/>
        <v>2.7064088191389315</v>
      </c>
      <c r="J202" s="7"/>
      <c r="K202" s="7"/>
      <c r="L202" s="7"/>
      <c r="M202" s="7"/>
      <c r="N202" s="7"/>
    </row>
    <row r="203" spans="1:14" x14ac:dyDescent="0.3">
      <c r="A203" t="s">
        <v>201</v>
      </c>
      <c r="B203" s="4">
        <v>0.96268185800414063</v>
      </c>
      <c r="C203" s="7">
        <v>-2.220554999999993</v>
      </c>
      <c r="D203" s="7">
        <v>3.4</v>
      </c>
      <c r="E203" s="7">
        <v>-11.6</v>
      </c>
      <c r="F203" s="7">
        <v>0</v>
      </c>
      <c r="G203" s="7">
        <v>-7</v>
      </c>
      <c r="H203" s="5">
        <f t="shared" si="3"/>
        <v>2.3094340588400009</v>
      </c>
      <c r="J203" s="7"/>
      <c r="K203" s="7"/>
      <c r="L203" s="7"/>
      <c r="M203" s="7"/>
      <c r="N203" s="7"/>
    </row>
    <row r="204" spans="1:14" x14ac:dyDescent="0.3">
      <c r="A204" t="s">
        <v>202</v>
      </c>
      <c r="B204" s="4">
        <v>0.96225825959506894</v>
      </c>
      <c r="C204" s="7">
        <v>-3.3010150000000138</v>
      </c>
      <c r="D204" s="7">
        <v>3.2</v>
      </c>
      <c r="E204" s="7">
        <v>-18.599999999999998</v>
      </c>
      <c r="F204" s="7">
        <v>-1.0000000000000036</v>
      </c>
      <c r="G204" s="7">
        <v>-9.1</v>
      </c>
      <c r="H204" s="5">
        <f t="shared" si="3"/>
        <v>4.0754237584408539</v>
      </c>
      <c r="J204" s="7"/>
      <c r="K204" s="7"/>
      <c r="L204" s="7"/>
      <c r="M204" s="7"/>
      <c r="N204" s="7"/>
    </row>
    <row r="205" spans="1:14" x14ac:dyDescent="0.3">
      <c r="A205" t="s">
        <v>203</v>
      </c>
      <c r="B205" s="4">
        <v>0.94992810214524204</v>
      </c>
      <c r="C205" s="7">
        <v>-3.3010150000000138</v>
      </c>
      <c r="D205" s="7">
        <v>3.4</v>
      </c>
      <c r="E205" s="7">
        <v>-14.299999999999999</v>
      </c>
      <c r="F205" s="7">
        <v>-1.0000000000000018</v>
      </c>
      <c r="G205" s="7">
        <v>-10</v>
      </c>
      <c r="H205" s="5">
        <f t="shared" si="3"/>
        <v>5.2845754697526806</v>
      </c>
      <c r="J205" s="7"/>
      <c r="K205" s="7"/>
      <c r="L205" s="7"/>
      <c r="M205" s="7"/>
      <c r="N205" s="7"/>
    </row>
    <row r="206" spans="1:14" x14ac:dyDescent="0.3">
      <c r="A206" t="s">
        <v>204</v>
      </c>
      <c r="B206" s="4">
        <v>0.93111358464052796</v>
      </c>
      <c r="C206" s="7">
        <v>-3.3010150000000138</v>
      </c>
      <c r="D206" s="7">
        <v>3.4</v>
      </c>
      <c r="E206" s="7">
        <v>-14.799999999999999</v>
      </c>
      <c r="F206" s="7">
        <v>-2.2000000000000011</v>
      </c>
      <c r="G206" s="7">
        <v>-9.1</v>
      </c>
      <c r="H206" s="5">
        <f t="shared" si="3"/>
        <v>5.7897941221972831</v>
      </c>
      <c r="J206" s="7"/>
      <c r="K206" s="7"/>
      <c r="L206" s="7"/>
      <c r="M206" s="7"/>
      <c r="N206" s="7"/>
    </row>
    <row r="207" spans="1:14" x14ac:dyDescent="0.3">
      <c r="A207" t="s">
        <v>205</v>
      </c>
      <c r="B207" s="4">
        <v>0.92613218494982452</v>
      </c>
      <c r="C207" s="7">
        <v>-2.220554999999993</v>
      </c>
      <c r="D207" s="7">
        <v>5</v>
      </c>
      <c r="E207" s="7">
        <v>-18.8</v>
      </c>
      <c r="F207" s="7">
        <v>0</v>
      </c>
      <c r="G207" s="7">
        <v>-7</v>
      </c>
      <c r="H207" s="5">
        <f t="shared" si="3"/>
        <v>2.1508205048672266</v>
      </c>
      <c r="J207" s="7"/>
      <c r="K207" s="7"/>
      <c r="L207" s="7"/>
      <c r="M207" s="7"/>
      <c r="N207" s="7"/>
    </row>
    <row r="208" spans="1:14" x14ac:dyDescent="0.3">
      <c r="A208" t="s">
        <v>206</v>
      </c>
      <c r="B208" s="4">
        <v>0.91449594741974027</v>
      </c>
      <c r="C208" s="7">
        <v>-3.7121000000000057</v>
      </c>
      <c r="D208" s="7">
        <v>3.4</v>
      </c>
      <c r="E208" s="7">
        <v>-14.299999999999999</v>
      </c>
      <c r="F208" s="7">
        <v>-0.60000000000000142</v>
      </c>
      <c r="G208" s="7">
        <v>-9</v>
      </c>
      <c r="H208" s="5">
        <f t="shared" si="3"/>
        <v>3.0883070433648743</v>
      </c>
      <c r="J208" s="7"/>
      <c r="K208" s="7"/>
      <c r="L208" s="7"/>
      <c r="M208" s="7"/>
      <c r="N208" s="7"/>
    </row>
    <row r="209" spans="1:14" x14ac:dyDescent="0.3">
      <c r="A209" t="s">
        <v>207</v>
      </c>
      <c r="B209" s="4">
        <v>0.88678455085217833</v>
      </c>
      <c r="C209" s="7">
        <v>-3.0109699999999937</v>
      </c>
      <c r="D209" s="7">
        <v>0.8</v>
      </c>
      <c r="E209" s="7">
        <v>-22.5</v>
      </c>
      <c r="F209" s="7">
        <v>0</v>
      </c>
      <c r="G209" s="7">
        <v>-8.1</v>
      </c>
      <c r="H209" s="5">
        <f t="shared" si="3"/>
        <v>2.6114740194011148</v>
      </c>
      <c r="J209" s="7"/>
      <c r="K209" s="7"/>
      <c r="L209" s="7"/>
      <c r="M209" s="7"/>
      <c r="N209" s="7"/>
    </row>
    <row r="210" spans="1:14" x14ac:dyDescent="0.3">
      <c r="A210" t="s">
        <v>208</v>
      </c>
      <c r="B210" s="4">
        <v>0.87437813320119384</v>
      </c>
      <c r="C210" s="7">
        <v>-3.7230100000000093</v>
      </c>
      <c r="D210" s="7">
        <v>4.5999999999999996</v>
      </c>
      <c r="E210" s="7">
        <v>-20.5</v>
      </c>
      <c r="F210" s="7">
        <v>0</v>
      </c>
      <c r="G210" s="7">
        <v>-7.5</v>
      </c>
      <c r="H210" s="5">
        <f t="shared" si="3"/>
        <v>1.7923234459562902</v>
      </c>
      <c r="J210" s="7"/>
      <c r="K210" s="7"/>
      <c r="L210" s="7"/>
      <c r="M210" s="7"/>
      <c r="N210" s="7"/>
    </row>
    <row r="211" spans="1:14" x14ac:dyDescent="0.3">
      <c r="A211" t="s">
        <v>209</v>
      </c>
      <c r="B211" s="4">
        <v>0.86989994250270186</v>
      </c>
      <c r="C211" s="7">
        <v>-3.1192499999999925</v>
      </c>
      <c r="D211" s="7">
        <v>4.5999999999999996</v>
      </c>
      <c r="E211" s="7">
        <v>-13.1</v>
      </c>
      <c r="F211" s="7">
        <v>0</v>
      </c>
      <c r="G211" s="7">
        <v>-10</v>
      </c>
      <c r="H211" s="5">
        <f t="shared" si="3"/>
        <v>3.6902138630167873</v>
      </c>
      <c r="J211" s="7"/>
      <c r="K211" s="7"/>
      <c r="L211" s="7"/>
      <c r="M211" s="7"/>
      <c r="N211" s="7"/>
    </row>
    <row r="212" spans="1:14" x14ac:dyDescent="0.3">
      <c r="A212" t="s">
        <v>210</v>
      </c>
      <c r="B212" s="4">
        <v>0.86504289840506732</v>
      </c>
      <c r="C212" s="7">
        <v>-0.63561500000000526</v>
      </c>
      <c r="D212" s="7">
        <v>4.5</v>
      </c>
      <c r="E212" s="7">
        <v>-15.299999999999997</v>
      </c>
      <c r="F212" s="7">
        <v>-0.50000000000000355</v>
      </c>
      <c r="G212" s="7">
        <v>-7.5</v>
      </c>
      <c r="H212" s="5">
        <f t="shared" si="3"/>
        <v>4.2376836386986607</v>
      </c>
      <c r="J212" s="7"/>
      <c r="K212" s="7"/>
      <c r="L212" s="7"/>
      <c r="M212" s="7"/>
      <c r="N212" s="7"/>
    </row>
    <row r="213" spans="1:14" x14ac:dyDescent="0.3">
      <c r="A213" t="s">
        <v>211</v>
      </c>
      <c r="B213" s="4">
        <v>0.84777674134187353</v>
      </c>
      <c r="C213" s="7">
        <v>-3.0109699999999937</v>
      </c>
      <c r="D213" s="7">
        <v>5</v>
      </c>
      <c r="E213" s="7">
        <v>-18.8</v>
      </c>
      <c r="F213" s="7">
        <v>-0.59999999999999787</v>
      </c>
      <c r="G213" s="7">
        <v>-7</v>
      </c>
      <c r="H213" s="5">
        <f t="shared" si="3"/>
        <v>2.0664384053556022</v>
      </c>
      <c r="J213" s="7"/>
      <c r="K213" s="7"/>
      <c r="L213" s="7"/>
      <c r="M213" s="7"/>
      <c r="N213" s="7"/>
    </row>
    <row r="214" spans="1:14" x14ac:dyDescent="0.3">
      <c r="A214" t="s">
        <v>212</v>
      </c>
      <c r="B214" s="4">
        <v>0.84759043473419615</v>
      </c>
      <c r="C214" s="7">
        <v>-3.1192499999999925</v>
      </c>
      <c r="D214" s="7">
        <v>4.5999999999999996</v>
      </c>
      <c r="E214" s="7">
        <v>-15.199999999999998</v>
      </c>
      <c r="F214" s="7">
        <v>0</v>
      </c>
      <c r="G214" s="7">
        <v>-7.5</v>
      </c>
      <c r="H214" s="5">
        <f t="shared" si="3"/>
        <v>2.0197468891890047</v>
      </c>
      <c r="J214" s="7"/>
      <c r="K214" s="7"/>
      <c r="L214" s="7"/>
      <c r="M214" s="7"/>
      <c r="N214" s="7"/>
    </row>
    <row r="215" spans="1:14" x14ac:dyDescent="0.3">
      <c r="A215" t="s">
        <v>213</v>
      </c>
      <c r="B215" s="4">
        <v>0.84635361355510863</v>
      </c>
      <c r="C215" s="7">
        <v>-3.3010150000000138</v>
      </c>
      <c r="D215" s="7">
        <v>4.5</v>
      </c>
      <c r="E215" s="7">
        <v>-20.599999999999998</v>
      </c>
      <c r="F215" s="7">
        <v>-2.2000000000000028</v>
      </c>
      <c r="G215" s="7">
        <v>-7.5</v>
      </c>
      <c r="H215" s="5">
        <f t="shared" si="3"/>
        <v>3.2913147180316917</v>
      </c>
      <c r="J215" s="7"/>
      <c r="K215" s="7"/>
      <c r="L215" s="7"/>
      <c r="M215" s="7"/>
      <c r="N215" s="7"/>
    </row>
    <row r="216" spans="1:14" x14ac:dyDescent="0.3">
      <c r="A216" t="s">
        <v>214</v>
      </c>
      <c r="B216" s="4">
        <v>0.84401515258914273</v>
      </c>
      <c r="C216" s="7">
        <v>-3.0109699999999937</v>
      </c>
      <c r="D216" s="7">
        <v>3.4</v>
      </c>
      <c r="E216" s="7">
        <v>-6</v>
      </c>
      <c r="F216" s="7">
        <v>-0.59999999999999964</v>
      </c>
      <c r="G216" s="7">
        <v>-7</v>
      </c>
      <c r="H216" s="5">
        <f t="shared" si="3"/>
        <v>2.2068958466565851</v>
      </c>
      <c r="J216" s="7"/>
      <c r="K216" s="7"/>
      <c r="L216" s="7"/>
      <c r="M216" s="7"/>
      <c r="N216" s="7"/>
    </row>
    <row r="217" spans="1:14" x14ac:dyDescent="0.3">
      <c r="A217" t="s">
        <v>215</v>
      </c>
      <c r="B217" s="4">
        <v>0.84117219482544525</v>
      </c>
      <c r="C217" s="7">
        <v>-2.220554999999993</v>
      </c>
      <c r="D217" s="7">
        <v>0.8</v>
      </c>
      <c r="E217" s="7">
        <v>-11.6</v>
      </c>
      <c r="F217" s="7">
        <v>0</v>
      </c>
      <c r="G217" s="7">
        <v>-9</v>
      </c>
      <c r="H217" s="5">
        <f t="shared" si="3"/>
        <v>4.3977183231242538</v>
      </c>
      <c r="J217" s="7"/>
      <c r="K217" s="7"/>
      <c r="L217" s="7"/>
      <c r="M217" s="7"/>
      <c r="N217" s="7"/>
    </row>
    <row r="218" spans="1:14" x14ac:dyDescent="0.3">
      <c r="A218" t="s">
        <v>216</v>
      </c>
      <c r="B218" s="4">
        <v>0.83298846127977499</v>
      </c>
      <c r="C218" s="7">
        <v>-3.3021449999999968</v>
      </c>
      <c r="D218" s="7">
        <v>4.7</v>
      </c>
      <c r="E218" s="7">
        <v>-17.2</v>
      </c>
      <c r="F218" s="7">
        <v>-2.9000000000000021</v>
      </c>
      <c r="G218" s="7">
        <v>-8</v>
      </c>
      <c r="H218" s="5">
        <f t="shared" si="3"/>
        <v>4.3689469488568902</v>
      </c>
      <c r="J218" s="7"/>
      <c r="K218" s="7"/>
      <c r="L218" s="7"/>
      <c r="M218" s="7"/>
      <c r="N218" s="7"/>
    </row>
    <row r="219" spans="1:14" x14ac:dyDescent="0.3">
      <c r="A219" t="s">
        <v>217</v>
      </c>
      <c r="B219" s="4">
        <v>0.82931321902764255</v>
      </c>
      <c r="C219" s="7">
        <v>-2.220554999999993</v>
      </c>
      <c r="D219" s="7">
        <v>5</v>
      </c>
      <c r="E219" s="7">
        <v>-16.800000000000004</v>
      </c>
      <c r="F219" s="7">
        <v>0</v>
      </c>
      <c r="G219" s="7">
        <v>-7</v>
      </c>
      <c r="H219" s="5">
        <f t="shared" si="3"/>
        <v>2.1508205048672266</v>
      </c>
      <c r="J219" s="7"/>
      <c r="K219" s="7"/>
      <c r="L219" s="7"/>
      <c r="M219" s="7"/>
      <c r="N219" s="7"/>
    </row>
    <row r="220" spans="1:14" x14ac:dyDescent="0.3">
      <c r="A220" t="s">
        <v>218</v>
      </c>
      <c r="B220" s="4">
        <v>0.82317720342508827</v>
      </c>
      <c r="C220" s="7">
        <v>-3.3010150000000138</v>
      </c>
      <c r="D220" s="7">
        <v>3.4</v>
      </c>
      <c r="E220" s="7">
        <v>-21.7</v>
      </c>
      <c r="F220" s="7">
        <v>-2.1999999999999993</v>
      </c>
      <c r="G220" s="7">
        <v>-7.5</v>
      </c>
      <c r="H220" s="5">
        <f t="shared" si="3"/>
        <v>3.5748460894579206</v>
      </c>
      <c r="J220" s="7"/>
      <c r="K220" s="7"/>
      <c r="L220" s="7"/>
      <c r="M220" s="7"/>
      <c r="N220" s="7"/>
    </row>
    <row r="221" spans="1:14" x14ac:dyDescent="0.3">
      <c r="A221" t="s">
        <v>219</v>
      </c>
      <c r="B221" s="4">
        <v>0.81462922806708804</v>
      </c>
      <c r="C221" s="7">
        <v>-3.7121000000000057</v>
      </c>
      <c r="D221" s="7">
        <v>5</v>
      </c>
      <c r="E221" s="7">
        <v>-21.5</v>
      </c>
      <c r="F221" s="7">
        <v>-0.60000000000000142</v>
      </c>
      <c r="G221" s="7">
        <v>-9</v>
      </c>
      <c r="H221" s="5">
        <f t="shared" si="3"/>
        <v>2.7633119772197876</v>
      </c>
      <c r="J221" s="7"/>
      <c r="K221" s="7"/>
      <c r="L221" s="7"/>
      <c r="M221" s="7"/>
      <c r="N221" s="7"/>
    </row>
    <row r="222" spans="1:14" x14ac:dyDescent="0.3">
      <c r="A222" t="s">
        <v>220</v>
      </c>
      <c r="B222" s="4">
        <v>0.80851374260875186</v>
      </c>
      <c r="C222" s="7">
        <v>1.6358049999999931</v>
      </c>
      <c r="D222" s="7">
        <v>3.8</v>
      </c>
      <c r="E222" s="7">
        <v>-15.999999999999996</v>
      </c>
      <c r="F222" s="7">
        <v>-1.2000000000000028</v>
      </c>
      <c r="G222" s="7">
        <v>-7.5</v>
      </c>
      <c r="H222" s="5">
        <f t="shared" si="3"/>
        <v>10.175107883419452</v>
      </c>
      <c r="J222" s="7"/>
      <c r="K222" s="7"/>
      <c r="L222" s="7"/>
      <c r="M222" s="7"/>
      <c r="N222" s="7"/>
    </row>
    <row r="223" spans="1:14" x14ac:dyDescent="0.3">
      <c r="A223" t="s">
        <v>221</v>
      </c>
      <c r="B223" s="4">
        <v>0.79697638498499213</v>
      </c>
      <c r="C223" s="7">
        <v>-3.3010150000000138</v>
      </c>
      <c r="D223" s="7">
        <v>3.2</v>
      </c>
      <c r="E223" s="7">
        <v>-20.599999999999998</v>
      </c>
      <c r="F223" s="7">
        <v>-1.0000000000000036</v>
      </c>
      <c r="G223" s="7">
        <v>-9.1</v>
      </c>
      <c r="H223" s="5">
        <f t="shared" si="3"/>
        <v>4.0754237584408539</v>
      </c>
      <c r="J223" s="7"/>
      <c r="K223" s="7"/>
      <c r="L223" s="7"/>
      <c r="M223" s="7"/>
      <c r="N223" s="7"/>
    </row>
    <row r="224" spans="1:14" x14ac:dyDescent="0.3">
      <c r="A224" t="s">
        <v>222</v>
      </c>
      <c r="B224" s="4">
        <v>0.7937096901393117</v>
      </c>
      <c r="C224" s="7">
        <v>-3.1192499999999925</v>
      </c>
      <c r="D224" s="7">
        <v>4.5</v>
      </c>
      <c r="E224" s="7">
        <v>-17.299999999999997</v>
      </c>
      <c r="F224" s="7">
        <v>0</v>
      </c>
      <c r="G224" s="7">
        <v>-9.1</v>
      </c>
      <c r="H224" s="5">
        <f t="shared" si="3"/>
        <v>2.9554129924879762</v>
      </c>
      <c r="J224" s="7"/>
      <c r="K224" s="7"/>
      <c r="L224" s="7"/>
      <c r="M224" s="7"/>
      <c r="N224" s="7"/>
    </row>
    <row r="225" spans="1:14" x14ac:dyDescent="0.3">
      <c r="A225" t="s">
        <v>223</v>
      </c>
      <c r="B225" s="4">
        <v>0.77681013422989753</v>
      </c>
      <c r="C225" s="7">
        <v>-3.0109699999999937</v>
      </c>
      <c r="D225" s="7">
        <v>5</v>
      </c>
      <c r="E225" s="7">
        <v>-20.5</v>
      </c>
      <c r="F225" s="7">
        <v>0</v>
      </c>
      <c r="G225" s="7">
        <v>-5.9</v>
      </c>
      <c r="H225" s="5">
        <f t="shared" si="3"/>
        <v>1.5263926412155095</v>
      </c>
      <c r="J225" s="7"/>
      <c r="K225" s="7"/>
      <c r="L225" s="7"/>
      <c r="M225" s="7"/>
      <c r="N225" s="7"/>
    </row>
    <row r="226" spans="1:14" x14ac:dyDescent="0.3">
      <c r="A226" t="s">
        <v>224</v>
      </c>
      <c r="B226" s="4">
        <v>0.77458985482641696</v>
      </c>
      <c r="C226" s="7">
        <v>-3.7121000000000057</v>
      </c>
      <c r="D226" s="7">
        <v>5</v>
      </c>
      <c r="E226" s="7">
        <v>-18.8</v>
      </c>
      <c r="F226" s="7">
        <v>-0.59999999999999787</v>
      </c>
      <c r="G226" s="7">
        <v>-7</v>
      </c>
      <c r="H226" s="5">
        <f t="shared" si="3"/>
        <v>1.8010944102135109</v>
      </c>
      <c r="J226" s="7"/>
      <c r="K226" s="7"/>
      <c r="L226" s="7"/>
      <c r="M226" s="7"/>
      <c r="N226" s="7"/>
    </row>
    <row r="227" spans="1:14" x14ac:dyDescent="0.3">
      <c r="A227" t="s">
        <v>225</v>
      </c>
      <c r="B227" s="4">
        <v>0.75588287999579273</v>
      </c>
      <c r="C227" s="7">
        <v>-3.3010150000000138</v>
      </c>
      <c r="D227" s="7">
        <v>4.5</v>
      </c>
      <c r="E227" s="7">
        <v>-15.2</v>
      </c>
      <c r="F227" s="7">
        <v>-1.1000000000000014</v>
      </c>
      <c r="G227" s="7">
        <v>-8.8000000000000007</v>
      </c>
      <c r="H227" s="5">
        <f t="shared" si="3"/>
        <v>3.4674847391069705</v>
      </c>
      <c r="J227" s="7"/>
      <c r="K227" s="7"/>
      <c r="L227" s="7"/>
      <c r="M227" s="7"/>
      <c r="N227" s="7"/>
    </row>
    <row r="228" spans="1:14" x14ac:dyDescent="0.3">
      <c r="A228" t="s">
        <v>226</v>
      </c>
      <c r="B228" s="4">
        <v>0.75316749277081352</v>
      </c>
      <c r="C228" s="7">
        <v>-6.2795650000000096</v>
      </c>
      <c r="D228" s="7">
        <v>6.58</v>
      </c>
      <c r="E228" s="7">
        <v>1.08</v>
      </c>
      <c r="F228" s="7">
        <v>-1.08</v>
      </c>
      <c r="G228" s="7">
        <v>-5.5</v>
      </c>
      <c r="H228" s="5">
        <f t="shared" si="3"/>
        <v>1.1457992832243988</v>
      </c>
      <c r="J228" s="7"/>
      <c r="K228" s="7"/>
      <c r="L228" s="7"/>
      <c r="M228" s="7"/>
      <c r="N228" s="7"/>
    </row>
    <row r="229" spans="1:14" x14ac:dyDescent="0.3">
      <c r="A229" t="s">
        <v>227</v>
      </c>
      <c r="B229" s="4">
        <v>0.75055102931263606</v>
      </c>
      <c r="C229" s="7">
        <v>-3.7121000000000057</v>
      </c>
      <c r="D229" s="7">
        <v>0.8</v>
      </c>
      <c r="E229" s="7">
        <v>-22.5</v>
      </c>
      <c r="F229" s="7">
        <v>-0.39999999999999858</v>
      </c>
      <c r="G229" s="7">
        <v>-8.1</v>
      </c>
      <c r="H229" s="5">
        <f t="shared" si="3"/>
        <v>2.4095807659638453</v>
      </c>
      <c r="J229" s="7"/>
      <c r="K229" s="7"/>
      <c r="L229" s="7"/>
      <c r="M229" s="7"/>
      <c r="N229" s="7"/>
    </row>
    <row r="230" spans="1:14" x14ac:dyDescent="0.3">
      <c r="A230" t="s">
        <v>228</v>
      </c>
      <c r="B230" s="4">
        <v>0.75005547132879158</v>
      </c>
      <c r="C230" s="7">
        <v>-3.0109699999999937</v>
      </c>
      <c r="D230" s="7">
        <v>0.8</v>
      </c>
      <c r="E230" s="7">
        <v>-15.999999999999996</v>
      </c>
      <c r="F230" s="7">
        <v>0</v>
      </c>
      <c r="G230" s="7">
        <v>-5.9</v>
      </c>
      <c r="H230" s="5">
        <f t="shared" si="3"/>
        <v>1.603726413309418</v>
      </c>
      <c r="J230" s="7"/>
      <c r="K230" s="7"/>
      <c r="L230" s="7"/>
      <c r="M230" s="7"/>
      <c r="N230" s="7"/>
    </row>
    <row r="231" spans="1:14" x14ac:dyDescent="0.3">
      <c r="A231" t="s">
        <v>229</v>
      </c>
      <c r="B231" s="4">
        <v>0.74409887891098814</v>
      </c>
      <c r="C231" s="7">
        <v>-2.220554999999993</v>
      </c>
      <c r="D231" s="7">
        <v>0.8</v>
      </c>
      <c r="E231" s="7">
        <v>-15.999999999999996</v>
      </c>
      <c r="F231" s="7">
        <v>0</v>
      </c>
      <c r="G231" s="7">
        <v>-5.9</v>
      </c>
      <c r="H231" s="5">
        <f t="shared" si="3"/>
        <v>1.8598227163167433</v>
      </c>
      <c r="J231" s="7"/>
      <c r="K231" s="7"/>
      <c r="L231" s="7"/>
      <c r="M231" s="7"/>
      <c r="N231" s="7"/>
    </row>
    <row r="232" spans="1:14" x14ac:dyDescent="0.3">
      <c r="A232" t="s">
        <v>230</v>
      </c>
      <c r="B232" s="4">
        <v>0.74371163163667131</v>
      </c>
      <c r="C232" s="7">
        <v>-3.1094700000000013</v>
      </c>
      <c r="D232" s="7">
        <v>0.8</v>
      </c>
      <c r="E232" s="7">
        <v>-11.999999999999998</v>
      </c>
      <c r="F232" s="7">
        <v>-4.6000000000000032</v>
      </c>
      <c r="G232" s="7">
        <v>-7.7999999999999989</v>
      </c>
      <c r="H232" s="5">
        <f t="shared" si="3"/>
        <v>10.945813913309914</v>
      </c>
      <c r="J232" s="7"/>
      <c r="K232" s="7"/>
      <c r="L232" s="7"/>
      <c r="M232" s="7"/>
      <c r="N232" s="7"/>
    </row>
    <row r="233" spans="1:14" x14ac:dyDescent="0.3">
      <c r="A233" t="s">
        <v>231</v>
      </c>
      <c r="B233" s="4">
        <v>0.73816051974203933</v>
      </c>
      <c r="C233" s="7">
        <v>-3.0109699999999937</v>
      </c>
      <c r="D233" s="7">
        <v>3.4</v>
      </c>
      <c r="E233" s="7">
        <v>-16.100000000000009</v>
      </c>
      <c r="F233" s="7">
        <v>0</v>
      </c>
      <c r="G233" s="7">
        <v>-8.1</v>
      </c>
      <c r="H233" s="5">
        <f t="shared" si="3"/>
        <v>2.4939291743682297</v>
      </c>
      <c r="J233" s="7"/>
      <c r="K233" s="7"/>
      <c r="L233" s="7"/>
      <c r="M233" s="7"/>
      <c r="N233" s="7"/>
    </row>
    <row r="234" spans="1:14" x14ac:dyDescent="0.3">
      <c r="A234" t="s">
        <v>232</v>
      </c>
      <c r="B234" s="4">
        <v>0.72420244953875301</v>
      </c>
      <c r="C234" s="7">
        <v>1.6358049999999931</v>
      </c>
      <c r="D234" s="7">
        <v>3.4</v>
      </c>
      <c r="E234" s="7">
        <v>-6</v>
      </c>
      <c r="F234" s="7">
        <v>-1.2000000000000002</v>
      </c>
      <c r="G234" s="7">
        <v>-7</v>
      </c>
      <c r="H234" s="5">
        <f t="shared" si="3"/>
        <v>9.8512771263045451</v>
      </c>
      <c r="J234" s="7"/>
      <c r="K234" s="7"/>
      <c r="L234" s="7"/>
      <c r="M234" s="7"/>
      <c r="N234" s="7"/>
    </row>
    <row r="235" spans="1:14" x14ac:dyDescent="0.3">
      <c r="A235" t="s">
        <v>233</v>
      </c>
      <c r="B235" s="4">
        <v>0.71204605351377537</v>
      </c>
      <c r="C235" s="7">
        <v>-3.1192499999999925</v>
      </c>
      <c r="D235" s="7">
        <v>4.5999999999999996</v>
      </c>
      <c r="E235" s="7">
        <v>-20.5</v>
      </c>
      <c r="F235" s="7">
        <v>0</v>
      </c>
      <c r="G235" s="7">
        <v>-7.5</v>
      </c>
      <c r="H235" s="5">
        <f t="shared" si="3"/>
        <v>2.0197468891890047</v>
      </c>
      <c r="J235" s="7"/>
      <c r="K235" s="7"/>
      <c r="L235" s="7"/>
      <c r="M235" s="7"/>
      <c r="N235" s="7"/>
    </row>
    <row r="236" spans="1:14" x14ac:dyDescent="0.3">
      <c r="A236" t="s">
        <v>234</v>
      </c>
      <c r="B236" s="4">
        <v>0.70874700847274386</v>
      </c>
      <c r="C236" s="7">
        <v>-2.9070350000000036</v>
      </c>
      <c r="D236" s="7">
        <v>4.2</v>
      </c>
      <c r="E236" s="7">
        <v>-13.600000000000001</v>
      </c>
      <c r="F236" s="7">
        <v>-2.5</v>
      </c>
      <c r="G236" s="7">
        <v>-9.1</v>
      </c>
      <c r="H236" s="5">
        <f t="shared" si="3"/>
        <v>6.2735884471339229</v>
      </c>
      <c r="J236" s="7"/>
      <c r="K236" s="7"/>
      <c r="L236" s="7"/>
      <c r="M236" s="7"/>
      <c r="N236" s="7"/>
    </row>
    <row r="237" spans="1:14" x14ac:dyDescent="0.3">
      <c r="A237" t="s">
        <v>235</v>
      </c>
      <c r="B237" s="4">
        <v>0.70726899101540852</v>
      </c>
      <c r="C237" s="7">
        <v>-2.220554999999993</v>
      </c>
      <c r="D237" s="7">
        <v>3.4</v>
      </c>
      <c r="E237" s="7">
        <v>-14.299999999999999</v>
      </c>
      <c r="F237" s="7">
        <v>0</v>
      </c>
      <c r="G237" s="7">
        <v>-9</v>
      </c>
      <c r="H237" s="5">
        <f t="shared" si="3"/>
        <v>4.0001932643728759</v>
      </c>
      <c r="J237" s="7"/>
      <c r="K237" s="7"/>
      <c r="L237" s="7"/>
      <c r="M237" s="7"/>
      <c r="N237" s="7"/>
    </row>
    <row r="238" spans="1:14" x14ac:dyDescent="0.3">
      <c r="A238" t="s">
        <v>236</v>
      </c>
      <c r="B238" s="4">
        <v>0.70656813171596489</v>
      </c>
      <c r="C238" s="7">
        <v>-2.220554999999993</v>
      </c>
      <c r="D238" s="7">
        <v>5</v>
      </c>
      <c r="E238" s="7">
        <v>-9.2000000000000011</v>
      </c>
      <c r="F238" s="7">
        <v>0</v>
      </c>
      <c r="G238" s="7">
        <v>-7</v>
      </c>
      <c r="H238" s="5">
        <f t="shared" si="3"/>
        <v>2.1508205048672266</v>
      </c>
      <c r="J238" s="7"/>
      <c r="K238" s="7"/>
      <c r="L238" s="7"/>
      <c r="M238" s="7"/>
      <c r="N238" s="7"/>
    </row>
    <row r="239" spans="1:14" x14ac:dyDescent="0.3">
      <c r="A239" t="s">
        <v>237</v>
      </c>
      <c r="B239" s="4">
        <v>0.70491466118728796</v>
      </c>
      <c r="C239" s="7">
        <v>-3.0109699999999937</v>
      </c>
      <c r="D239" s="7">
        <v>3.4</v>
      </c>
      <c r="E239" s="7">
        <v>-11.6</v>
      </c>
      <c r="F239" s="7">
        <v>-0.59999999999999964</v>
      </c>
      <c r="G239" s="7">
        <v>-7</v>
      </c>
      <c r="H239" s="5">
        <f t="shared" si="3"/>
        <v>2.2068958466565851</v>
      </c>
      <c r="J239" s="7"/>
      <c r="K239" s="7"/>
      <c r="L239" s="7"/>
      <c r="M239" s="7"/>
      <c r="N239" s="7"/>
    </row>
    <row r="240" spans="1:14" x14ac:dyDescent="0.3">
      <c r="A240" t="s">
        <v>238</v>
      </c>
      <c r="B240" s="4">
        <v>0.70229000204687453</v>
      </c>
      <c r="C240" s="7">
        <v>-3.7121000000000057</v>
      </c>
      <c r="D240" s="7">
        <v>3.4</v>
      </c>
      <c r="E240" s="7">
        <v>-6</v>
      </c>
      <c r="F240" s="7">
        <v>-0.59999999999999964</v>
      </c>
      <c r="G240" s="7">
        <v>-7</v>
      </c>
      <c r="H240" s="5">
        <f t="shared" si="3"/>
        <v>1.8915266537171718</v>
      </c>
      <c r="J240" s="7"/>
      <c r="K240" s="7"/>
      <c r="L240" s="7"/>
      <c r="M240" s="7"/>
      <c r="N240" s="7"/>
    </row>
    <row r="241" spans="1:14" x14ac:dyDescent="0.3">
      <c r="A241" t="s">
        <v>239</v>
      </c>
      <c r="B241" s="4">
        <v>0.69771572116361646</v>
      </c>
      <c r="C241" s="7">
        <v>-2.9070350000000036</v>
      </c>
      <c r="D241" s="7">
        <v>3.4</v>
      </c>
      <c r="E241" s="7">
        <v>-16.8</v>
      </c>
      <c r="F241" s="7">
        <v>-2.3999999999999986</v>
      </c>
      <c r="G241" s="7">
        <v>-10</v>
      </c>
      <c r="H241" s="5">
        <f t="shared" si="3"/>
        <v>8.9738489176040233</v>
      </c>
      <c r="J241" s="7"/>
      <c r="K241" s="7"/>
      <c r="L241" s="7"/>
      <c r="M241" s="7"/>
      <c r="N241" s="7"/>
    </row>
    <row r="242" spans="1:14" x14ac:dyDescent="0.3">
      <c r="A242" t="s">
        <v>240</v>
      </c>
      <c r="B242" s="4">
        <v>0.6832529763381493</v>
      </c>
      <c r="C242" s="7">
        <v>-3.0109699999999937</v>
      </c>
      <c r="D242" s="7">
        <v>5</v>
      </c>
      <c r="E242" s="7">
        <v>-16.800000000000004</v>
      </c>
      <c r="F242" s="7">
        <v>-0.59999999999999432</v>
      </c>
      <c r="G242" s="7">
        <v>-7</v>
      </c>
      <c r="H242" s="5">
        <f t="shared" si="3"/>
        <v>2.0664384053556004</v>
      </c>
      <c r="J242" s="7"/>
      <c r="K242" s="7"/>
      <c r="L242" s="7"/>
      <c r="M242" s="7"/>
      <c r="N242" s="7"/>
    </row>
    <row r="243" spans="1:14" x14ac:dyDescent="0.3">
      <c r="A243" t="s">
        <v>241</v>
      </c>
      <c r="B243" s="4">
        <v>0.66400705410329242</v>
      </c>
      <c r="C243" s="7">
        <v>-2.220554999999993</v>
      </c>
      <c r="D243" s="7">
        <v>5</v>
      </c>
      <c r="E243" s="7">
        <v>-21.5</v>
      </c>
      <c r="F243" s="7">
        <v>0</v>
      </c>
      <c r="G243" s="7">
        <v>-9</v>
      </c>
      <c r="H243" s="5">
        <f t="shared" si="3"/>
        <v>3.4219900868741551</v>
      </c>
      <c r="J243" s="7"/>
      <c r="K243" s="7"/>
      <c r="L243" s="7"/>
      <c r="M243" s="7"/>
      <c r="N243" s="7"/>
    </row>
    <row r="244" spans="1:14" x14ac:dyDescent="0.3">
      <c r="A244" t="s">
        <v>242</v>
      </c>
      <c r="B244" s="4">
        <v>0.66319971952787182</v>
      </c>
      <c r="C244" s="7">
        <v>-0.63561500000000526</v>
      </c>
      <c r="D244" s="7">
        <v>4.5</v>
      </c>
      <c r="E244" s="7">
        <v>-20.599999999999998</v>
      </c>
      <c r="F244" s="7">
        <v>-0.50000000000000355</v>
      </c>
      <c r="G244" s="7">
        <v>-7.5</v>
      </c>
      <c r="H244" s="5">
        <f t="shared" si="3"/>
        <v>4.2376836386986607</v>
      </c>
      <c r="J244" s="7"/>
      <c r="K244" s="7"/>
      <c r="L244" s="7"/>
      <c r="M244" s="7"/>
      <c r="N244" s="7"/>
    </row>
    <row r="245" spans="1:14" x14ac:dyDescent="0.3">
      <c r="A245" t="s">
        <v>243</v>
      </c>
      <c r="B245" s="4">
        <v>0.66232334798771675</v>
      </c>
      <c r="C245" s="7">
        <v>-2.220554999999993</v>
      </c>
      <c r="D245" s="7">
        <v>3.4</v>
      </c>
      <c r="E245" s="7">
        <v>-16.100000000000009</v>
      </c>
      <c r="F245" s="7">
        <v>0</v>
      </c>
      <c r="G245" s="7">
        <v>-8.1</v>
      </c>
      <c r="H245" s="5">
        <f t="shared" si="3"/>
        <v>3.081011252784819</v>
      </c>
      <c r="J245" s="7"/>
      <c r="K245" s="7"/>
      <c r="L245" s="7"/>
      <c r="M245" s="7"/>
      <c r="N245" s="7"/>
    </row>
    <row r="246" spans="1:14" x14ac:dyDescent="0.3">
      <c r="A246" t="s">
        <v>244</v>
      </c>
      <c r="B246" s="4">
        <v>0.65437990968802473</v>
      </c>
      <c r="C246" s="7">
        <v>-3.3010150000000138</v>
      </c>
      <c r="D246" s="7">
        <v>5.3</v>
      </c>
      <c r="E246" s="7">
        <v>-17.099999999999998</v>
      </c>
      <c r="F246" s="7">
        <v>-1.0000000000000036</v>
      </c>
      <c r="G246" s="7">
        <v>-9.1</v>
      </c>
      <c r="H246" s="5">
        <f t="shared" si="3"/>
        <v>3.2960592910056619</v>
      </c>
      <c r="J246" s="7"/>
      <c r="K246" s="7"/>
      <c r="L246" s="7"/>
      <c r="M246" s="7"/>
      <c r="N246" s="7"/>
    </row>
    <row r="247" spans="1:14" x14ac:dyDescent="0.3">
      <c r="A247" t="s">
        <v>245</v>
      </c>
      <c r="B247" s="4">
        <v>0.65190796538519813</v>
      </c>
      <c r="C247" s="7">
        <v>-3.0109699999999937</v>
      </c>
      <c r="D247" s="7">
        <v>5</v>
      </c>
      <c r="E247" s="7">
        <v>-21.5</v>
      </c>
      <c r="F247" s="7">
        <v>-0.60000000000000142</v>
      </c>
      <c r="G247" s="7">
        <v>-9</v>
      </c>
      <c r="H247" s="5">
        <f t="shared" si="3"/>
        <v>3.2684096918273156</v>
      </c>
      <c r="J247" s="7"/>
      <c r="K247" s="7"/>
      <c r="L247" s="7"/>
      <c r="M247" s="7"/>
      <c r="N247" s="7"/>
    </row>
    <row r="248" spans="1:14" x14ac:dyDescent="0.3">
      <c r="A248" t="s">
        <v>246</v>
      </c>
      <c r="B248" s="4">
        <v>0.64391250830329816</v>
      </c>
      <c r="C248" s="7">
        <v>-2.220554999999993</v>
      </c>
      <c r="D248" s="7">
        <v>0.8</v>
      </c>
      <c r="E248" s="7">
        <v>-22.5</v>
      </c>
      <c r="F248" s="7">
        <v>0</v>
      </c>
      <c r="G248" s="7">
        <v>-8.1</v>
      </c>
      <c r="H248" s="5">
        <f t="shared" si="3"/>
        <v>3.2871105994461751</v>
      </c>
      <c r="J248" s="7"/>
      <c r="K248" s="7"/>
      <c r="L248" s="7"/>
      <c r="M248" s="7"/>
      <c r="N248" s="7"/>
    </row>
    <row r="249" spans="1:14" x14ac:dyDescent="0.3">
      <c r="A249" t="s">
        <v>247</v>
      </c>
      <c r="B249" s="4">
        <v>0.63719040132490889</v>
      </c>
      <c r="C249" s="7">
        <v>-3.0109699999999937</v>
      </c>
      <c r="D249" s="7">
        <v>0.8</v>
      </c>
      <c r="E249" s="7">
        <v>-11.6</v>
      </c>
      <c r="F249" s="7">
        <v>-0.59999999999999964</v>
      </c>
      <c r="G249" s="7">
        <v>-9</v>
      </c>
      <c r="H249" s="5">
        <f t="shared" si="3"/>
        <v>4.1257506541791589</v>
      </c>
      <c r="J249" s="7"/>
      <c r="K249" s="7"/>
      <c r="L249" s="7"/>
      <c r="M249" s="7"/>
      <c r="N249" s="7"/>
    </row>
    <row r="250" spans="1:14" x14ac:dyDescent="0.3">
      <c r="A250" t="s">
        <v>248</v>
      </c>
      <c r="B250" s="4">
        <v>0.62746415818583834</v>
      </c>
      <c r="C250" s="7">
        <v>-3.7121000000000057</v>
      </c>
      <c r="D250" s="7">
        <v>0.8</v>
      </c>
      <c r="E250" s="7">
        <v>-11.6</v>
      </c>
      <c r="F250" s="7">
        <v>-0.59999999999999964</v>
      </c>
      <c r="G250" s="7">
        <v>-9</v>
      </c>
      <c r="H250" s="5">
        <f t="shared" si="3"/>
        <v>3.2956673326828061</v>
      </c>
      <c r="J250" s="7"/>
      <c r="K250" s="7"/>
      <c r="L250" s="7"/>
      <c r="M250" s="7"/>
      <c r="N250" s="7"/>
    </row>
    <row r="251" spans="1:14" x14ac:dyDescent="0.3">
      <c r="A251" t="s">
        <v>249</v>
      </c>
      <c r="B251" s="4">
        <v>0.62650044713130781</v>
      </c>
      <c r="C251" s="7">
        <v>-3.7121000000000057</v>
      </c>
      <c r="D251" s="7">
        <v>3.4</v>
      </c>
      <c r="E251" s="7">
        <v>-16.100000000000009</v>
      </c>
      <c r="F251" s="7">
        <v>-0.39999999999999147</v>
      </c>
      <c r="G251" s="7">
        <v>-8.1</v>
      </c>
      <c r="H251" s="5">
        <f t="shared" si="3"/>
        <v>2.3141733745805215</v>
      </c>
      <c r="J251" s="7"/>
      <c r="K251" s="7"/>
      <c r="L251" s="7"/>
      <c r="M251" s="7"/>
      <c r="N251" s="7"/>
    </row>
    <row r="252" spans="1:14" x14ac:dyDescent="0.3">
      <c r="A252" t="s">
        <v>250</v>
      </c>
      <c r="B252" s="4">
        <v>0.62456300416122756</v>
      </c>
      <c r="C252" s="7">
        <v>-3.0109699999999937</v>
      </c>
      <c r="D252" s="7">
        <v>5</v>
      </c>
      <c r="E252" s="7">
        <v>-9.2000000000000011</v>
      </c>
      <c r="F252" s="7">
        <v>-0.59999999999999964</v>
      </c>
      <c r="G252" s="7">
        <v>-7</v>
      </c>
      <c r="H252" s="5">
        <f t="shared" si="3"/>
        <v>2.0664384053556031</v>
      </c>
      <c r="J252" s="7"/>
      <c r="K252" s="7"/>
      <c r="L252" s="7"/>
      <c r="M252" s="7"/>
      <c r="N252" s="7"/>
    </row>
    <row r="253" spans="1:14" x14ac:dyDescent="0.3">
      <c r="A253" t="s">
        <v>251</v>
      </c>
      <c r="B253" s="4">
        <v>0.61869333043001762</v>
      </c>
      <c r="C253" s="7">
        <v>-2.9070350000000036</v>
      </c>
      <c r="D253" s="7">
        <v>5.8</v>
      </c>
      <c r="E253" s="7">
        <v>-12</v>
      </c>
      <c r="F253" s="7">
        <v>-2.5</v>
      </c>
      <c r="G253" s="7">
        <v>-9.1</v>
      </c>
      <c r="H253" s="5">
        <f t="shared" si="3"/>
        <v>4.3134441316723056</v>
      </c>
      <c r="J253" s="7"/>
      <c r="K253" s="7"/>
      <c r="L253" s="7"/>
      <c r="M253" s="7"/>
      <c r="N253" s="7"/>
    </row>
    <row r="254" spans="1:14" x14ac:dyDescent="0.3">
      <c r="A254" t="s">
        <v>252</v>
      </c>
      <c r="B254" s="4">
        <v>0.6070701845704487</v>
      </c>
      <c r="C254" s="7">
        <v>-3.7230100000000093</v>
      </c>
      <c r="D254" s="7">
        <v>3.4</v>
      </c>
      <c r="E254" s="7">
        <v>-16.399999999999999</v>
      </c>
      <c r="F254" s="7">
        <v>0</v>
      </c>
      <c r="G254" s="7">
        <v>-7.5</v>
      </c>
      <c r="H254" s="5">
        <f t="shared" si="3"/>
        <v>1.8495410191729293</v>
      </c>
      <c r="J254" s="7"/>
      <c r="K254" s="7"/>
      <c r="L254" s="7"/>
      <c r="M254" s="7"/>
      <c r="N254" s="7"/>
    </row>
    <row r="255" spans="1:14" x14ac:dyDescent="0.3">
      <c r="A255" t="s">
        <v>253</v>
      </c>
      <c r="B255" s="4">
        <v>0.60562379272188294</v>
      </c>
      <c r="C255" s="7">
        <v>-3.3010150000000138</v>
      </c>
      <c r="D255" s="7">
        <v>4.5</v>
      </c>
      <c r="E255" s="7">
        <v>-15.299999999999997</v>
      </c>
      <c r="F255" s="7">
        <v>-2.2000000000000028</v>
      </c>
      <c r="G255" s="7">
        <v>-7.5</v>
      </c>
      <c r="H255" s="5">
        <f t="shared" si="3"/>
        <v>3.2913147180316917</v>
      </c>
      <c r="J255" s="7"/>
      <c r="K255" s="7"/>
      <c r="L255" s="7"/>
      <c r="M255" s="7"/>
      <c r="N255" s="7"/>
    </row>
    <row r="256" spans="1:14" x14ac:dyDescent="0.3">
      <c r="A256" t="s">
        <v>254</v>
      </c>
      <c r="B256" s="4">
        <v>0.59296851310144594</v>
      </c>
      <c r="C256" s="7">
        <v>-3.7121000000000057</v>
      </c>
      <c r="D256" s="7">
        <v>3.4</v>
      </c>
      <c r="E256" s="7">
        <v>-11.6</v>
      </c>
      <c r="F256" s="7">
        <v>-0.59999999999999964</v>
      </c>
      <c r="G256" s="7">
        <v>-7</v>
      </c>
      <c r="H256" s="5">
        <f t="shared" si="3"/>
        <v>1.8915266537171718</v>
      </c>
      <c r="J256" s="7"/>
      <c r="K256" s="7"/>
      <c r="L256" s="7"/>
      <c r="M256" s="7"/>
      <c r="N256" s="7"/>
    </row>
    <row r="257" spans="1:14" x14ac:dyDescent="0.3">
      <c r="A257" t="s">
        <v>255</v>
      </c>
      <c r="B257" s="4">
        <v>0.58485939133462828</v>
      </c>
      <c r="C257" s="7">
        <v>-3.7121000000000057</v>
      </c>
      <c r="D257" s="7">
        <v>5</v>
      </c>
      <c r="E257" s="7">
        <v>-16.800000000000004</v>
      </c>
      <c r="F257" s="7">
        <v>-0.59999999999999432</v>
      </c>
      <c r="G257" s="7">
        <v>-7</v>
      </c>
      <c r="H257" s="5">
        <f t="shared" si="3"/>
        <v>1.80109441021351</v>
      </c>
      <c r="J257" s="7"/>
      <c r="K257" s="7"/>
      <c r="L257" s="7"/>
      <c r="M257" s="7"/>
      <c r="N257" s="7"/>
    </row>
    <row r="258" spans="1:14" x14ac:dyDescent="0.3">
      <c r="A258" t="s">
        <v>256</v>
      </c>
      <c r="B258" s="4">
        <v>0.58229818013763157</v>
      </c>
      <c r="C258" s="7">
        <v>-3.1094700000000013</v>
      </c>
      <c r="D258" s="7">
        <v>5</v>
      </c>
      <c r="E258" s="7">
        <v>-16.5</v>
      </c>
      <c r="F258" s="7">
        <v>-4.6000000000000014</v>
      </c>
      <c r="G258" s="7">
        <v>-7.7999999999999989</v>
      </c>
      <c r="H258" s="5">
        <f t="shared" si="3"/>
        <v>5.9661673822025589</v>
      </c>
      <c r="J258" s="7"/>
      <c r="K258" s="7"/>
      <c r="L258" s="7"/>
      <c r="M258" s="7"/>
      <c r="N258" s="7"/>
    </row>
    <row r="259" spans="1:14" x14ac:dyDescent="0.3">
      <c r="A259" t="s">
        <v>257</v>
      </c>
      <c r="B259" s="4">
        <v>0.58171528476849577</v>
      </c>
      <c r="C259" s="7">
        <v>-3.0876699999999984</v>
      </c>
      <c r="D259" s="7">
        <v>4.7</v>
      </c>
      <c r="E259" s="7">
        <v>-17.2</v>
      </c>
      <c r="F259" s="7">
        <v>-3.6000000000000014</v>
      </c>
      <c r="G259" s="7">
        <v>-8</v>
      </c>
      <c r="H259" s="5">
        <f t="shared" ref="H259:H266" si="4">1+1/(0.005*EXP(0.6*D259)+6*EXP(0.45*(F259+G259-C259))*(1+0.005*EXP(0.6*D259)))</f>
        <v>5.444620289574174</v>
      </c>
      <c r="J259" s="7"/>
      <c r="K259" s="7"/>
      <c r="L259" s="7"/>
      <c r="M259" s="7"/>
      <c r="N259" s="7"/>
    </row>
    <row r="260" spans="1:14" x14ac:dyDescent="0.3">
      <c r="A260" t="s">
        <v>258</v>
      </c>
      <c r="B260" s="4">
        <v>0.55899383317601847</v>
      </c>
      <c r="C260" s="7">
        <v>-3.3010150000000138</v>
      </c>
      <c r="D260" s="7">
        <v>5.3</v>
      </c>
      <c r="E260" s="7">
        <v>-19.099999999999998</v>
      </c>
      <c r="F260" s="7">
        <v>-1.0000000000000036</v>
      </c>
      <c r="G260" s="7">
        <v>-9.1</v>
      </c>
      <c r="H260" s="5">
        <f t="shared" si="4"/>
        <v>3.2960592910056619</v>
      </c>
      <c r="J260" s="7"/>
      <c r="K260" s="7"/>
      <c r="L260" s="7"/>
      <c r="M260" s="7"/>
      <c r="N260" s="7"/>
    </row>
    <row r="261" spans="1:14" x14ac:dyDescent="0.3">
      <c r="A261" t="s">
        <v>259</v>
      </c>
      <c r="B261" s="4">
        <v>0.55499238513913873</v>
      </c>
      <c r="C261" s="7">
        <v>-3.3010150000000138</v>
      </c>
      <c r="D261" s="7">
        <v>3.4</v>
      </c>
      <c r="E261" s="7">
        <v>-16.399999999999999</v>
      </c>
      <c r="F261" s="7">
        <v>-2.2000000000000028</v>
      </c>
      <c r="G261" s="7">
        <v>-7.5</v>
      </c>
      <c r="H261" s="5">
        <f t="shared" si="4"/>
        <v>3.5748460894579255</v>
      </c>
      <c r="J261" s="7"/>
      <c r="K261" s="7"/>
      <c r="L261" s="7"/>
      <c r="M261" s="7"/>
      <c r="N261" s="7"/>
    </row>
    <row r="262" spans="1:14" x14ac:dyDescent="0.3">
      <c r="A262" t="s">
        <v>260</v>
      </c>
      <c r="B262" s="4">
        <v>0.55028740436082535</v>
      </c>
      <c r="C262" s="7">
        <v>-3.0876699999999984</v>
      </c>
      <c r="D262" s="7">
        <v>5.6</v>
      </c>
      <c r="E262" s="7">
        <v>-16.299999999999997</v>
      </c>
      <c r="F262" s="7">
        <v>-3.6000000000000014</v>
      </c>
      <c r="G262" s="7">
        <v>-8</v>
      </c>
      <c r="H262" s="5">
        <f t="shared" si="4"/>
        <v>4.4144608330749957</v>
      </c>
      <c r="J262" s="7"/>
      <c r="K262" s="7"/>
      <c r="L262" s="7"/>
      <c r="M262" s="7"/>
      <c r="N262" s="7"/>
    </row>
    <row r="263" spans="1:14" x14ac:dyDescent="0.3">
      <c r="A263" t="s">
        <v>261</v>
      </c>
      <c r="B263" s="4">
        <v>0.54809905430517003</v>
      </c>
      <c r="C263" s="7">
        <v>-3.7121000000000057</v>
      </c>
      <c r="D263" s="7">
        <v>5</v>
      </c>
      <c r="E263" s="7">
        <v>-9.2000000000000011</v>
      </c>
      <c r="F263" s="7">
        <v>-0.59999999999999964</v>
      </c>
      <c r="G263" s="7">
        <v>-7</v>
      </c>
      <c r="H263" s="5">
        <f t="shared" si="4"/>
        <v>1.8010944102135116</v>
      </c>
      <c r="J263" s="7"/>
      <c r="K263" s="7"/>
      <c r="L263" s="7"/>
      <c r="M263" s="7"/>
      <c r="N263" s="7"/>
    </row>
    <row r="264" spans="1:14" x14ac:dyDescent="0.3">
      <c r="A264" t="s">
        <v>262</v>
      </c>
      <c r="B264" s="4">
        <v>0.50268775772564489</v>
      </c>
      <c r="C264" s="7">
        <v>-3.0876699999999984</v>
      </c>
      <c r="D264" s="7">
        <v>4.5</v>
      </c>
      <c r="E264" s="7">
        <v>-9</v>
      </c>
      <c r="F264" s="7">
        <v>-3.5999999999999996</v>
      </c>
      <c r="G264" s="7">
        <v>-8</v>
      </c>
      <c r="H264" s="5">
        <f t="shared" si="4"/>
        <v>5.6669956431628226</v>
      </c>
      <c r="J264" s="7"/>
      <c r="K264" s="7"/>
      <c r="L264" s="7"/>
      <c r="M264" s="7"/>
      <c r="N264" s="7"/>
    </row>
    <row r="265" spans="1:14" x14ac:dyDescent="0.3">
      <c r="A265" t="s">
        <v>263</v>
      </c>
      <c r="B265" s="4">
        <v>0.41674122585715784</v>
      </c>
      <c r="C265" s="7">
        <v>-2.6305299999999989</v>
      </c>
      <c r="D265" s="7">
        <v>4.5</v>
      </c>
      <c r="E265" s="7">
        <v>-8</v>
      </c>
      <c r="F265" s="7">
        <v>-7.3000000000000007</v>
      </c>
      <c r="G265" s="7">
        <v>-9.1999999999999993</v>
      </c>
      <c r="H265" s="5">
        <f t="shared" si="4"/>
        <v>12.50055238634976</v>
      </c>
      <c r="J265" s="7"/>
      <c r="K265" s="7"/>
      <c r="L265" s="7"/>
      <c r="M265" s="7"/>
      <c r="N265" s="7"/>
    </row>
    <row r="266" spans="1:14" x14ac:dyDescent="0.3">
      <c r="A266" t="s">
        <v>264</v>
      </c>
      <c r="B266" s="4">
        <v>0.32634551553186536</v>
      </c>
      <c r="C266" s="7">
        <v>-3.0876699999999984</v>
      </c>
      <c r="D266" s="7">
        <v>3.4</v>
      </c>
      <c r="E266" s="7">
        <v>-10.1</v>
      </c>
      <c r="F266" s="7">
        <v>-3.5999999999999996</v>
      </c>
      <c r="G266" s="7">
        <v>-8</v>
      </c>
      <c r="H266" s="5">
        <f t="shared" si="4"/>
        <v>6.758863545702515</v>
      </c>
      <c r="J266" s="7"/>
      <c r="K266" s="7"/>
      <c r="L266" s="7"/>
      <c r="M266" s="7"/>
      <c r="N266" s="7"/>
    </row>
  </sheetData>
  <sortState xmlns:xlrd2="http://schemas.microsoft.com/office/spreadsheetml/2017/richdata2" ref="A2:K266">
    <sortCondition descending="1" ref="B2:B266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Ying-Ja </dc:creator>
  <cp:lastModifiedBy>Guilherme Engelberto Kundlatsch</cp:lastModifiedBy>
  <dcterms:created xsi:type="dcterms:W3CDTF">2013-01-23T04:42:03Z</dcterms:created>
  <dcterms:modified xsi:type="dcterms:W3CDTF">2025-06-12T17:59:42Z</dcterms:modified>
</cp:coreProperties>
</file>